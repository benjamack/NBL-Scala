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ercado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Competencia" sheetId="4" state="visible" r:id="rId4"/>
    <sheet xmlns:r="http://schemas.openxmlformats.org/officeDocument/2006/relationships" name="Fuen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\$#,##0.00"/>
    <numFmt numFmtId="167" formatCode="\$#,##0.00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22"/>
    </font>
    <font>
      <name val="Arial"/>
      <charset val="1"/>
      <family val="0"/>
      <sz val="14"/>
    </font>
    <font>
      <name val="Arial"/>
      <charset val="1"/>
      <family val="0"/>
      <i val="1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404040"/>
        <bgColor rgb="FF333300"/>
      </patternFill>
    </fill>
    <fill>
      <patternFill patternType="solid">
        <fgColor rgb="FFFFF2CC"/>
        <b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164" fontId="13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/>
    </xf>
    <xf numFmtId="3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top" wrapText="1"/>
    </xf>
    <xf numFmtId="164" fontId="13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general" vertical="top" wrapText="1"/>
    </xf>
    <xf numFmtId="164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center" vertical="center"/>
    </xf>
    <xf numFmtId="166" fontId="13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general" vertical="top" wrapText="1"/>
    </xf>
    <xf numFmtId="3" fontId="13" fillId="0" borderId="2" applyAlignment="1" pivotButton="0" quotePrefix="0" xfId="0">
      <alignment horizontal="center" vertical="center"/>
    </xf>
    <xf numFmtId="9" fontId="13" fillId="0" borderId="2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center" vertical="center"/>
    </xf>
    <xf numFmtId="167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164" fontId="13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/>
    </xf>
    <xf numFmtId="3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top" wrapText="1"/>
    </xf>
    <xf numFmtId="164" fontId="13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general" vertical="top" wrapText="1"/>
    </xf>
    <xf numFmtId="164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6" fontId="13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general" vertical="top" wrapText="1"/>
    </xf>
    <xf numFmtId="3" fontId="13" fillId="0" borderId="2" applyAlignment="1" pivotButton="0" quotePrefix="0" xfId="0">
      <alignment horizontal="center" vertical="center"/>
    </xf>
    <xf numFmtId="9" fontId="13" fillId="0" borderId="2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center" vertical="center"/>
    </xf>
    <xf numFmtId="167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s://www.grandviewresearch.com/industry-analysis/fitness-app-market" TargetMode="External" Id="rId1"/><Relationship Type="http://schemas.openxmlformats.org/officeDocument/2006/relationships/hyperlink" Target="https://www.fortunebusinessinsights.com/fitness-tracker-market-103358" TargetMode="External" Id="rId2"/><Relationship Type="http://schemas.openxmlformats.org/officeDocument/2006/relationships/hyperlink" Target="https://www.insightaceanalytic.com/report/ai-in-fitness-and-wellness-market/2744" TargetMode="External" Id="rId3"/><Relationship Type="http://schemas.openxmlformats.org/officeDocument/2006/relationships/hyperlink" Target="https://www.marketdataforecast.com/market-reports/latin-america-fitness-app-market" TargetMode="External" Id="rId4"/><Relationship Type="http://schemas.openxmlformats.org/officeDocument/2006/relationships/hyperlink" Target="https://www.mordorintelligence.com/industry-reports/virtual-fitness-market" TargetMode="External" Id="rId5"/><Relationship Type="http://schemas.openxmlformats.org/officeDocument/2006/relationships/hyperlink" Target="https://www.indec.gob.ar/indec/web/Nivel4-Tema-2-41-165" TargetMode="External" Id="rId6"/><Relationship Type="http://schemas.openxmlformats.org/officeDocument/2006/relationships/hyperlink" Target="https://www.indec.gob.ar/ftp/cuadros/publicaciones/enfr_2018_resultados_definitivos.pdf" TargetMode="External" Id="rId7"/><Relationship Type="http://schemas.openxmlformats.org/officeDocument/2006/relationships/hyperlink" Target="https://www.argentina.gob.ar/sites/default/files/enafyd_2023_-_digital.pdf" TargetMode="External" Id="rId8"/><Relationship Type="http://schemas.openxmlformats.org/officeDocument/2006/relationships/hyperlink" Target="https://data.worldbank.org/indicator/SP.POP.1564.TO.ZS" TargetMode="External" Id="rId9"/><Relationship Type="http://schemas.openxmlformats.org/officeDocument/2006/relationships/hyperlink" Target="https://www.statista.com/forecasts/285600/number-of-smartphone-users-in-argentina/" TargetMode="External" Id="rId10"/><Relationship Type="http://schemas.openxmlformats.org/officeDocument/2006/relationships/hyperlink" Target="https://datareportal.com/reports/digital-2024-argentina" TargetMode="External" Id="rId11"/><Relationship Type="http://schemas.openxmlformats.org/officeDocument/2006/relationships/hyperlink" Target="https://infonegocios.info/nota-principal/el-nivel-abc1-en-su-minima-expresion-solo-4-9-de-la-poblacion-esta-en-tope-del-nse-que-usan-los-marketineros" TargetMode="External" Id="rId12"/><Relationship Type="http://schemas.openxmlformats.org/officeDocument/2006/relationships/hyperlink" Target="https://infonegocios.info/plus/y-vos-con-esa-panza-en-el-pais-hay-7-900-gimnasios-a-los-que-asisten-solo-2-8-millones-6-4-si-93-6-no" TargetMode="External" Id="rId13"/><Relationship Type="http://schemas.openxmlformats.org/officeDocument/2006/relationships/hyperlink" Target="https://rockhealth.com/insights/2025-year-end-digital-health-funding-overview-a-tale-of-two-markets/" TargetMode="External" Id="rId14"/><Relationship Type="http://schemas.openxmlformats.org/officeDocument/2006/relationships/hyperlink" Target="https://www.mckinsey.com/industries/healthcare/our-insights/generative-ai-in-healthcare-current-trends-and-future-outlook" TargetMode="External" Id="rId15"/><Relationship Type="http://schemas.openxmlformats.org/officeDocument/2006/relationships/hyperlink" Target="https://market.us/report/fitness-app-market/" TargetMode="External" Id="rId16"/><Relationship Type="http://schemas.openxmlformats.org/officeDocument/2006/relationships/hyperlink" Target="https://www.grandviewresearch.com/industry-analysis/wearable-technology-market" TargetMode="External" Id="rId17"/><Relationship Type="http://schemas.openxmlformats.org/officeDocument/2006/relationships/hyperlink" Target="https://www.idc.com/promo/wearablevendor/" TargetMode="External" Id="rId18"/><Relationship Type="http://schemas.openxmlformats.org/officeDocument/2006/relationships/hyperlink" Target="https://retentioncheck.com/churn-benchmarks/fitness-apps" TargetMode="External" Id="rId19"/><Relationship Type="http://schemas.openxmlformats.org/officeDocument/2006/relationships/hyperlink" Target="https://www.eaglerockcfo.com/blog/research/saas-finance-metrics-benchmarks" TargetMode="External" Id="rId20"/><Relationship Type="http://schemas.openxmlformats.org/officeDocument/2006/relationships/hyperlink" Target="https://techcrunch.com/2025/10/30/bevel-raises-10m-series-a-from-general-catalyst-for-its-ai-health-companion/" TargetMode="External" Id="rId21"/><Relationship Type="http://schemas.openxmlformats.org/officeDocument/2006/relationships/hyperlink" Target="https://techcrunch.com/2026/05/07/googles-9-99-per-month-ai-health-coach-launches-may-19/" TargetMode="External" Id="rId22"/><Relationship Type="http://schemas.openxmlformats.org/officeDocument/2006/relationships/hyperlink" Target="https://www.garmin.com/en-US/newsroom/press-release/wearables-health/elevate-your-health-and-fitness-goals-with-garmin-connect/" TargetMode="External" Id="rId23"/><Relationship Type="http://schemas.openxmlformats.org/officeDocument/2006/relationships/hyperlink" Target="https://www.bloomberg.com/news/articles/2026-02-05/apple-is-scaling-back-plans-for-new-ai-based-health-coach-service" TargetMode="External" Id="rId24"/><Relationship Type="http://schemas.openxmlformats.org/officeDocument/2006/relationships/hyperlink" Target="https://www.whoop.com/us/en/press-center/whoop-announces-series-g-funding/" TargetMode="External" Id="rId25"/><Relationship Type="http://schemas.openxmlformats.org/officeDocument/2006/relationships/hyperlink" Target="https://www.cnbc.com/2025/10/14/oura-ringmaker-valuation-fundraise.html" TargetMode="External" Id="rId26"/><Relationship Type="http://schemas.openxmlformats.org/officeDocument/2006/relationships/hyperlink" Target="https://www.businessofapps.com/data/strava-statistics/" TargetMode="External" Id="rId27"/><Relationship Type="http://schemas.openxmlformats.org/officeDocument/2006/relationships/hyperlink" Target="https://platform.claude.com/docs/en/about-claude/pricing" TargetMode="External" Id="rId28"/><Relationship Type="http://schemas.openxmlformats.org/officeDocument/2006/relationships/hyperlink" Target="https://render.com/pricing" TargetMode="External" Id="rId29"/><Relationship Type="http://schemas.openxmlformats.org/officeDocument/2006/relationships/hyperlink" Target="https://neon.com/pricing" TargetMode="External" Id="rId30"/><Relationship Type="http://schemas.openxmlformats.org/officeDocument/2006/relationships/hyperlink" Target="https://tryterra.co/pricing" TargetMode="External" Id="rId3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40" min="1" max="1"/>
    <col width="95" customWidth="1" style="40" min="2" max="2"/>
  </cols>
  <sheetData>
    <row r="2" ht="26.25" customHeight="1" s="41">
      <c r="B2" s="42" t="inlineStr">
        <is>
          <t>SCALA</t>
        </is>
      </c>
    </row>
    <row r="3" ht="17.25" customHeight="1" s="41">
      <c r="B3" s="43" t="inlineStr">
        <is>
          <t>Modelo de Mercado y Unit Economics</t>
        </is>
      </c>
    </row>
    <row r="4" ht="15" customHeight="1" s="41">
      <c r="B4" s="44" t="inlineStr">
        <is>
          <t>Anexo cuantitativo — Doc #3 Evaluación de la Oportunidad de Negocios</t>
        </is>
      </c>
    </row>
    <row r="6" ht="15" customHeight="1" s="41">
      <c r="B6" s="45" t="inlineStr">
        <is>
          <t>New Business Launchpad — MIA, Universidad de San Andrés</t>
        </is>
      </c>
    </row>
    <row r="7" ht="15" customHeight="1" s="41">
      <c r="B7" s="45" t="inlineStr">
        <is>
          <t>Dupla: Nicolás Karagozian · Benjamín Mackinnon</t>
        </is>
      </c>
    </row>
    <row r="8" ht="15" customHeight="1" s="41">
      <c r="B8" s="45" t="inlineStr">
        <is>
          <t>Buenos Aires, junio de 2026</t>
        </is>
      </c>
    </row>
    <row r="10" ht="15" customHeight="1" s="41">
      <c r="B10" s="46" t="inlineStr">
        <is>
          <t>Contenido de las hojas:</t>
        </is>
      </c>
    </row>
    <row r="11" ht="15" customHeight="1" s="41">
      <c r="B11" s="45" t="inlineStr">
        <is>
          <t>1. Mercado — Cálculo TAM / SAM / SOM (Argentina) con fórmulas y fuentes</t>
        </is>
      </c>
    </row>
    <row r="12" ht="15" customHeight="1" s="41">
      <c r="B12" s="45" t="inlineStr">
        <is>
          <t>2. Unit Economics — COGS por usuario/mes y margen bruto (3 escenarios x 3 escalas)</t>
        </is>
      </c>
    </row>
    <row r="13" ht="15" customHeight="1" s="41">
      <c r="B13" s="45" t="inlineStr">
        <is>
          <t>3. Competencia — Tabla comparativa de competidores directos e indirectos</t>
        </is>
      </c>
    </row>
    <row r="14" ht="15" customHeight="1" s="41">
      <c r="B14" s="45" t="inlineStr">
        <is>
          <t>4. Fuentes — Listado consolidado de fuentes con URLs</t>
        </is>
      </c>
    </row>
    <row r="17" ht="15" customHeight="1" s="41">
      <c r="B17" s="47" t="inlineStr">
        <is>
          <t>Convención de colores: texto AZUL = supuesto/input editable · texto NEGRO = fórmula o dato calculado.</t>
        </is>
      </c>
    </row>
    <row r="18" ht="15" customHeight="1" s="41">
      <c r="B18" s="47" t="inlineStr">
        <is>
          <t>Todos los inputs son editables; las celdas calculadas se recalculan solas.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46" customWidth="1" style="40" min="2" max="2"/>
    <col width="16" customWidth="1" style="40" min="3" max="3"/>
    <col width="14" customWidth="1" style="40" min="4" max="4"/>
    <col width="46" customWidth="1" style="40" min="5" max="5"/>
  </cols>
  <sheetData>
    <row r="2" ht="17.25" customHeight="1" s="41">
      <c r="B2" s="48" t="inlineStr">
        <is>
          <t>CÁLCULO DE MERCADO — TAM / SAM / SOM</t>
        </is>
      </c>
    </row>
    <row r="3" ht="15" customHeight="1" s="41">
      <c r="B3" s="49" t="inlineStr">
        <is>
          <t>Fórmula (clase NBL): TAM = ARPU anual × N° de clientes potenciales</t>
        </is>
      </c>
    </row>
    <row r="5" ht="15" customHeight="1" s="41">
      <c r="B5" s="50" t="inlineStr">
        <is>
          <t>A) Contexto de mercado (top-down, reportes sectoriales)</t>
        </is>
      </c>
      <c r="C5" s="51" t="n"/>
      <c r="D5" s="51" t="n"/>
      <c r="E5" s="51" t="n"/>
    </row>
    <row r="6" ht="15" customHeight="1" s="41">
      <c r="B6" s="52" t="inlineStr">
        <is>
          <t>Mercado</t>
        </is>
      </c>
      <c r="C6" s="52" t="inlineStr">
        <is>
          <t>Valor (USD)</t>
        </is>
      </c>
      <c r="D6" s="52" t="inlineStr">
        <is>
          <t>CAGR</t>
        </is>
      </c>
      <c r="E6" s="52" t="inlineStr">
        <is>
          <t>Fuente</t>
        </is>
      </c>
    </row>
    <row r="7" ht="15" customHeight="1" s="41">
      <c r="B7" s="53" t="inlineStr">
        <is>
          <t>Idea space global — AI in fitness &amp; wellness (2025)</t>
        </is>
      </c>
      <c r="C7" s="54" t="n">
        <v>10680000000</v>
      </c>
      <c r="D7" s="55" t="inlineStr">
        <is>
          <t>19,3%</t>
        </is>
      </c>
      <c r="E7" s="53" t="inlineStr">
        <is>
          <t>InsightAce Analytic, 2025</t>
        </is>
      </c>
    </row>
    <row r="8" ht="15" customHeight="1" s="41">
      <c r="B8" s="53" t="inlineStr">
        <is>
          <t>Fitness apps — global (2025)</t>
        </is>
      </c>
      <c r="C8" s="54" t="n">
        <v>12120000000</v>
      </c>
      <c r="D8" s="55" t="inlineStr">
        <is>
          <t>13,4%</t>
        </is>
      </c>
      <c r="E8" s="53" t="inlineStr">
        <is>
          <t>Grand View Research, 2025</t>
        </is>
      </c>
    </row>
    <row r="9" ht="15" customHeight="1" s="41">
      <c r="B9" s="53" t="inlineStr">
        <is>
          <t>Wearables / fitness trackers — global (2024)</t>
        </is>
      </c>
      <c r="C9" s="54" t="n">
        <v>62030000000</v>
      </c>
      <c r="D9" s="55" t="inlineStr">
        <is>
          <t>22,1%</t>
        </is>
      </c>
      <c r="E9" s="53" t="inlineStr">
        <is>
          <t>Fortune Business Insights, 2024</t>
        </is>
      </c>
    </row>
    <row r="10" ht="15" customHeight="1" s="41">
      <c r="B10" s="53" t="inlineStr">
        <is>
          <t>Fitness apps — América Latina (2024)</t>
        </is>
      </c>
      <c r="C10" s="54" t="n">
        <v>670000000</v>
      </c>
      <c r="D10" s="55" t="inlineStr">
        <is>
          <t>27,9%</t>
        </is>
      </c>
      <c r="E10" s="53" t="inlineStr">
        <is>
          <t>Market Data Forecast, 2024</t>
        </is>
      </c>
    </row>
    <row r="11" ht="15" customHeight="1" s="41">
      <c r="B11" s="53" t="inlineStr">
        <is>
          <t>Fitness apps — América Latina (proyección 2033)</t>
        </is>
      </c>
      <c r="C11" s="54" t="n">
        <v>6130000000</v>
      </c>
      <c r="D11" s="55" t="inlineStr">
        <is>
          <t>27,9%</t>
        </is>
      </c>
      <c r="E11" s="53" t="inlineStr">
        <is>
          <t>Market Data Forecast, 2024</t>
        </is>
      </c>
    </row>
    <row r="12" ht="15" customHeight="1" s="41">
      <c r="B12" s="47" t="inlineStr">
        <is>
          <t>TAM de referencia: el idea space global (AI fitness) ≈ US$ 10,7 mil millones, creciendo ~19% anual.</t>
        </is>
      </c>
    </row>
    <row r="14" ht="15" customHeight="1" s="41">
      <c r="B14" s="50" t="inlineStr">
        <is>
          <t>B) SAM — Argentina (bottom-up)</t>
        </is>
      </c>
      <c r="C14" s="51" t="n"/>
      <c r="D14" s="51" t="n"/>
      <c r="E14" s="51" t="n"/>
    </row>
    <row r="15" ht="15" customHeight="1" s="41">
      <c r="B15" s="52" t="inlineStr">
        <is>
          <t>Variable</t>
        </is>
      </c>
      <c r="C15" s="52" t="inlineStr">
        <is>
          <t>Valor</t>
        </is>
      </c>
      <c r="D15" s="52" t="inlineStr">
        <is>
          <t>Tipo</t>
        </is>
      </c>
      <c r="E15" s="52" t="inlineStr">
        <is>
          <t>Fuente</t>
        </is>
      </c>
    </row>
    <row r="16" ht="15" customHeight="1" s="41">
      <c r="B16" s="53" t="inlineStr">
        <is>
          <t>Población adultos 18+ (Argentina)</t>
        </is>
      </c>
      <c r="C16" s="56" t="n">
        <v>33668080</v>
      </c>
      <c r="D16" s="57" t="inlineStr">
        <is>
          <t>input</t>
        </is>
      </c>
      <c r="E16" s="53" t="inlineStr">
        <is>
          <t>INDEC, Censo 2022</t>
        </is>
      </c>
    </row>
    <row r="17" ht="15" customHeight="1" s="41">
      <c r="B17" s="53" t="inlineStr">
        <is>
          <t>% que realiza actividad física suficiente</t>
        </is>
      </c>
      <c r="C17" s="58" t="n">
        <v>0.351</v>
      </c>
      <c r="D17" s="57" t="inlineStr">
        <is>
          <t>input</t>
        </is>
      </c>
      <c r="E17" s="53" t="inlineStr">
        <is>
          <t>INDEC, ENFR 2018 (100% − 64,9% insuficiente)</t>
        </is>
      </c>
    </row>
    <row r="18" ht="15" customHeight="1" s="41">
      <c r="B18" s="53" t="inlineStr">
        <is>
          <t>Adultos activos físicamente</t>
        </is>
      </c>
      <c r="C18" s="59">
        <f>C16*C17</f>
        <v/>
      </c>
      <c r="D18" s="57" t="inlineStr">
        <is>
          <t>fórmula</t>
        </is>
      </c>
      <c r="E18" s="60" t="inlineStr">
        <is>
          <t>Fórmula: adultos × % activos</t>
        </is>
      </c>
    </row>
    <row r="19" ht="15" customHeight="1" s="41">
      <c r="B19" s="53" t="inlineStr">
        <is>
          <t>% NSE medio-alto (ABC1 + C2)</t>
        </is>
      </c>
      <c r="C19" s="58" t="n">
        <v>0.22</v>
      </c>
      <c r="D19" s="57" t="inlineStr">
        <is>
          <t>input</t>
        </is>
      </c>
      <c r="E19" s="53" t="inlineStr">
        <is>
          <t>SAIMO / Infonegocios (5% ABC1 + 17% C2)</t>
        </is>
      </c>
    </row>
    <row r="20" ht="15" customHeight="1" s="41">
      <c r="B20" s="53" t="inlineStr">
        <is>
          <t>Activos de NSE medio-alto</t>
        </is>
      </c>
      <c r="C20" s="59">
        <f>C18*C19</f>
        <v/>
      </c>
      <c r="D20" s="57" t="inlineStr">
        <is>
          <t>fórmula</t>
        </is>
      </c>
      <c r="E20" s="60" t="inlineStr">
        <is>
          <t>Fórmula: activos × % NSE</t>
        </is>
      </c>
    </row>
    <row r="21" ht="15" customHeight="1" s="41">
      <c r="B21" s="53" t="inlineStr">
        <is>
          <t>% con smartphone</t>
        </is>
      </c>
      <c r="C21" s="58" t="n">
        <v>0.88</v>
      </c>
      <c r="D21" s="57" t="inlineStr">
        <is>
          <t>input</t>
        </is>
      </c>
      <c r="E21" s="53" t="inlineStr">
        <is>
          <t>GSMA / Statista, 2024</t>
        </is>
      </c>
    </row>
    <row r="22" ht="15" customHeight="1" s="41">
      <c r="B22" s="53" t="inlineStr">
        <is>
          <t>Clientes potenciales (SAM, usuarios)</t>
        </is>
      </c>
      <c r="C22" s="59">
        <f>C20*C21</f>
        <v/>
      </c>
      <c r="D22" s="57" t="inlineStr">
        <is>
          <t>fórmula</t>
        </is>
      </c>
      <c r="E22" s="60" t="inlineStr">
        <is>
          <t>Fórmula: activos NSE × % smartphone</t>
        </is>
      </c>
    </row>
    <row r="23" ht="15" customHeight="1" s="41">
      <c r="B23" s="53" t="inlineStr">
        <is>
          <t>ARPU anual (USD) — suscripción US$ 10/mes</t>
        </is>
      </c>
      <c r="C23" s="61" t="n">
        <v>120</v>
      </c>
      <c r="D23" s="57" t="inlineStr">
        <is>
          <t>input</t>
        </is>
      </c>
      <c r="E23" s="53" t="inlineStr">
        <is>
          <t>Pricing Scala (US$ 10 × 12)</t>
        </is>
      </c>
    </row>
    <row r="24" ht="15" customHeight="1" s="41">
      <c r="B24" s="62" t="inlineStr">
        <is>
          <t>SAM en USD (anual)</t>
        </is>
      </c>
      <c r="C24" s="63">
        <f>C22*C23</f>
        <v/>
      </c>
      <c r="D24" s="64" t="inlineStr">
        <is>
          <t>fórmula</t>
        </is>
      </c>
      <c r="E24" s="65" t="inlineStr">
        <is>
          <t>Fórmula: clientes potenciales × ARPU</t>
        </is>
      </c>
    </row>
    <row r="26" ht="15" customHeight="1" s="41">
      <c r="B26" s="50" t="inlineStr">
        <is>
          <t>C) SOM — Captura objetivo (2-3% del SAM, años 3-5)</t>
        </is>
      </c>
      <c r="C26" s="51" t="n"/>
      <c r="D26" s="51" t="n"/>
      <c r="E26" s="51" t="n"/>
    </row>
    <row r="27" ht="15" customHeight="1" s="41">
      <c r="B27" s="52" t="inlineStr">
        <is>
          <t>Escenario</t>
        </is>
      </c>
      <c r="C27" s="52" t="inlineStr">
        <is>
          <t>Usuarios</t>
        </is>
      </c>
      <c r="D27" s="52" t="inlineStr">
        <is>
          <t>Ingresos anuales (USD)</t>
        </is>
      </c>
      <c r="E27" s="52" t="inlineStr">
        <is>
          <t>Comentario</t>
        </is>
      </c>
    </row>
    <row r="28" ht="15" customHeight="1" s="41">
      <c r="B28" s="53" t="inlineStr">
        <is>
          <t>SOM conservador (2% del SAM)</t>
        </is>
      </c>
      <c r="C28" s="59">
        <f>C22*0.02</f>
        <v/>
      </c>
      <c r="D28" s="66">
        <f>C28*C23</f>
        <v/>
      </c>
      <c r="E28" s="53" t="inlineStr">
        <is>
          <t>Base realista para inversores (Esteban)</t>
        </is>
      </c>
    </row>
    <row r="29" ht="15" customHeight="1" s="41">
      <c r="B29" s="53" t="inlineStr">
        <is>
          <t>SOM objetivo (3% del SAM)</t>
        </is>
      </c>
      <c r="C29" s="59">
        <f>C22*0.03</f>
        <v/>
      </c>
      <c r="D29" s="66">
        <f>C29*C23</f>
        <v/>
      </c>
      <c r="E29" s="53" t="inlineStr">
        <is>
          <t>Meta año 5 ≈ ejercicio inverso del mentor</t>
        </is>
      </c>
    </row>
    <row r="30" ht="15" customHeight="1" s="41">
      <c r="B30" s="53" t="inlineStr">
        <is>
          <t>SOM optimista (5% del SAM)</t>
        </is>
      </c>
      <c r="C30" s="59">
        <f>C22*0.05</f>
        <v/>
      </c>
      <c r="D30" s="66">
        <f>C30*C23</f>
        <v/>
      </c>
      <c r="E30" s="53" t="inlineStr">
        <is>
          <t>Techo de captura del beachhead</t>
        </is>
      </c>
    </row>
    <row r="32" ht="15" customHeight="1" s="41">
      <c r="B32" s="47" t="inlineStr">
        <is>
          <t>Nota: a US$ 10/mes, ~45.600 usuarios (2%) ≈ US$ 5,5 M/año — alineado con el target de ingresos año 5 de US$ 3-10 M sugerido por el mentor.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G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34" customWidth="1" style="40" min="2" max="2"/>
    <col width="14" customWidth="1" style="40" min="3" max="3"/>
    <col width="12" customWidth="1" style="40" min="4" max="6"/>
    <col width="34" customWidth="1" style="40" min="7" max="7"/>
  </cols>
  <sheetData>
    <row r="2" ht="17.25" customHeight="1" s="41">
      <c r="B2" s="48" t="inlineStr">
        <is>
          <t>UNIT ECONOMICS — COGS Y MARGEN BRUTO</t>
        </is>
      </c>
    </row>
    <row r="3" ht="15" customHeight="1" s="41">
      <c r="B3" s="49" t="inlineStr">
        <is>
          <t>Modelo de ingresos: US$ 10 / usuario / mes. COGS dominado por costo de API LLM.</t>
        </is>
      </c>
    </row>
    <row r="5" ht="15" customHeight="1" s="41">
      <c r="B5" s="50" t="inlineStr">
        <is>
          <t>A) Precios de lista (datos oficiales)</t>
        </is>
      </c>
      <c r="C5" s="51" t="n"/>
      <c r="D5" s="51" t="n"/>
      <c r="E5" s="51" t="n"/>
      <c r="F5" s="51" t="n"/>
      <c r="G5" s="51" t="n"/>
    </row>
    <row r="6" ht="15" customHeight="1" s="41">
      <c r="B6" s="52" t="inlineStr">
        <is>
          <t>Parámetro</t>
        </is>
      </c>
      <c r="C6" s="52" t="inlineStr">
        <is>
          <t>Valor</t>
        </is>
      </c>
      <c r="D6" s="67" t="n"/>
      <c r="E6" s="68" t="n"/>
      <c r="F6" s="52" t="inlineStr">
        <is>
          <t>Fuente</t>
        </is>
      </c>
      <c r="G6" s="68" t="n"/>
    </row>
    <row r="7" ht="15" customHeight="1" s="41">
      <c r="B7" s="53" t="inlineStr">
        <is>
          <t>Claude Sonnet — input (US$/millón tok)</t>
        </is>
      </c>
      <c r="C7" s="69" t="n">
        <v>3</v>
      </c>
      <c r="D7" s="67" t="n"/>
      <c r="E7" s="67" t="n"/>
      <c r="F7" s="70" t="inlineStr">
        <is>
          <t>Anthropic, 2026</t>
        </is>
      </c>
      <c r="G7" s="67" t="n"/>
    </row>
    <row r="8" ht="15" customHeight="1" s="41">
      <c r="B8" s="53" t="inlineStr">
        <is>
          <t>Claude Sonnet — output (US$/millón tok)</t>
        </is>
      </c>
      <c r="C8" s="69" t="n">
        <v>15</v>
      </c>
      <c r="D8" s="67" t="n"/>
      <c r="E8" s="67" t="n"/>
      <c r="F8" s="70" t="inlineStr">
        <is>
          <t>Anthropic, 2026</t>
        </is>
      </c>
      <c r="G8" s="67" t="n"/>
    </row>
    <row r="9" ht="15" customHeight="1" s="41">
      <c r="B9" s="53" t="inlineStr">
        <is>
          <t>Cache read (US$/millón tok)</t>
        </is>
      </c>
      <c r="C9" s="69" t="n">
        <v>0.3</v>
      </c>
      <c r="D9" s="67" t="n"/>
      <c r="E9" s="67" t="n"/>
      <c r="F9" s="70" t="inlineStr">
        <is>
          <t>Anthropic, 2026</t>
        </is>
      </c>
      <c r="G9" s="67" t="n"/>
    </row>
    <row r="10" ht="15" customHeight="1" s="41">
      <c r="B10" s="53" t="inlineStr">
        <is>
          <t>Tokens input por turno de chat</t>
        </is>
      </c>
      <c r="C10" s="71" t="n">
        <v>8000</v>
      </c>
      <c r="D10" s="67" t="n"/>
      <c r="E10" s="67" t="n"/>
      <c r="F10" s="70" t="inlineStr">
        <is>
          <t>Supuesto (system+context packs+historial)</t>
        </is>
      </c>
      <c r="G10" s="67" t="n"/>
    </row>
    <row r="11" ht="15" customHeight="1" s="41">
      <c r="B11" s="53" t="inlineStr">
        <is>
          <t>Tokens output por turno de chat</t>
        </is>
      </c>
      <c r="C11" s="71" t="n">
        <v>600</v>
      </c>
      <c r="D11" s="67" t="n"/>
      <c r="E11" s="67" t="n"/>
      <c r="F11" s="70" t="inlineStr">
        <is>
          <t>Supuesto (respuesta del coach)</t>
        </is>
      </c>
      <c r="G11" s="67" t="n"/>
    </row>
    <row r="12" ht="23.25" customHeight="1" s="41">
      <c r="B12" s="53" t="inlineStr">
        <is>
          <t>% del input cacheado (esc. medio/pesado)</t>
        </is>
      </c>
      <c r="C12" s="72" t="n">
        <v>0.7</v>
      </c>
      <c r="D12" s="67" t="n"/>
      <c r="E12" s="67" t="n"/>
      <c r="F12" s="70" t="inlineStr">
        <is>
          <t>Supuesto (contexto repetido)</t>
        </is>
      </c>
      <c r="G12" s="67" t="n"/>
    </row>
    <row r="13" ht="15" customHeight="1" s="41">
      <c r="B13" s="53" t="inlineStr">
        <is>
          <t>Tokens input por foto (vision)</t>
        </is>
      </c>
      <c r="C13" s="71" t="n">
        <v>2500</v>
      </c>
      <c r="D13" s="67" t="n"/>
      <c r="E13" s="67" t="n"/>
      <c r="F13" s="70" t="inlineStr">
        <is>
          <t>Anthropic vision (≈1.500 img + prompt)</t>
        </is>
      </c>
      <c r="G13" s="67" t="n"/>
    </row>
    <row r="14" ht="15" customHeight="1" s="41">
      <c r="B14" s="53" t="inlineStr">
        <is>
          <t>Tokens output por foto</t>
        </is>
      </c>
      <c r="C14" s="71" t="n">
        <v>400</v>
      </c>
      <c r="D14" s="67" t="n"/>
      <c r="E14" s="67" t="n"/>
      <c r="F14" s="70" t="inlineStr">
        <is>
          <t>Supuesto (desglose de macros)</t>
        </is>
      </c>
      <c r="G14" s="67" t="n"/>
    </row>
    <row r="15" ht="15" customHeight="1" s="41">
      <c r="B15" s="53" t="inlineStr">
        <is>
          <t>Precio de venta (US$/usuario/mes)</t>
        </is>
      </c>
      <c r="C15" s="69" t="n">
        <v>10</v>
      </c>
      <c r="D15" s="67" t="n"/>
      <c r="E15" s="67" t="n"/>
      <c r="F15" s="70" t="inlineStr">
        <is>
          <t>Pricing Scala</t>
        </is>
      </c>
      <c r="G15" s="67" t="n"/>
    </row>
    <row r="17" ht="15" customHeight="1" s="41">
      <c r="B17" s="50" t="inlineStr">
        <is>
          <t>B) Escenarios de uso (supuestos editables)</t>
        </is>
      </c>
      <c r="C17" s="51" t="n"/>
      <c r="D17" s="51" t="n"/>
      <c r="E17" s="51" t="n"/>
      <c r="F17" s="51" t="n"/>
      <c r="G17" s="51" t="n"/>
    </row>
    <row r="18" ht="15" customHeight="1" s="41">
      <c r="B18" s="52" t="inlineStr">
        <is>
          <t>Parámetro de uso mensual</t>
        </is>
      </c>
      <c r="C18" s="52" t="inlineStr">
        <is>
          <t>Liviano</t>
        </is>
      </c>
      <c r="D18" s="52" t="inlineStr">
        <is>
          <t>Medio</t>
        </is>
      </c>
      <c r="E18" s="52" t="inlineStr">
        <is>
          <t>Pesado</t>
        </is>
      </c>
    </row>
    <row r="19" ht="15" customHeight="1" s="41">
      <c r="B19" s="53" t="inlineStr">
        <is>
          <t>Turnos de chat / mes</t>
        </is>
      </c>
      <c r="C19" s="56" t="n">
        <v>30</v>
      </c>
      <c r="D19" s="56" t="n">
        <v>90</v>
      </c>
      <c r="E19" s="56" t="n">
        <v>200</v>
      </c>
    </row>
    <row r="20" ht="15" customHeight="1" s="41">
      <c r="B20" s="53" t="inlineStr">
        <is>
          <t>Fotos de comida / mes</t>
        </is>
      </c>
      <c r="C20" s="56" t="n">
        <v>10</v>
      </c>
      <c r="D20" s="56" t="n">
        <v>45</v>
      </c>
      <c r="E20" s="56" t="n">
        <v>90</v>
      </c>
    </row>
    <row r="21" ht="15" customHeight="1" s="41">
      <c r="B21" s="53" t="inlineStr">
        <is>
          <t>Caching activo (1=sí, 0=no)</t>
        </is>
      </c>
      <c r="C21" s="56" t="n">
        <v>0</v>
      </c>
      <c r="D21" s="56" t="n">
        <v>1</v>
      </c>
      <c r="E21" s="56" t="n">
        <v>1</v>
      </c>
    </row>
    <row r="23" ht="15" customHeight="1" s="41">
      <c r="B23" s="50" t="inlineStr">
        <is>
          <t>C) COGS de API por escenario (US$/usuario/mes)</t>
        </is>
      </c>
      <c r="C23" s="51" t="n"/>
      <c r="D23" s="51" t="n"/>
      <c r="E23" s="51" t="n"/>
      <c r="F23" s="51" t="n"/>
      <c r="G23" s="51" t="n"/>
    </row>
    <row r="24" ht="15" customHeight="1" s="41">
      <c r="B24" s="52" t="inlineStr">
        <is>
          <t>Componente</t>
        </is>
      </c>
      <c r="C24" s="52" t="inlineStr">
        <is>
          <t>Liviano</t>
        </is>
      </c>
      <c r="D24" s="52" t="inlineStr">
        <is>
          <t>Medio</t>
        </is>
      </c>
      <c r="E24" s="52" t="inlineStr">
        <is>
          <t>Pesado</t>
        </is>
      </c>
    </row>
    <row r="25" ht="15" customHeight="1" s="41">
      <c r="B25" s="53" t="inlineStr">
        <is>
          <t>Chat — input (con caching)</t>
        </is>
      </c>
      <c r="C25" s="73">
        <f>(C19*$C$10*(1-IF(C21=1,$C$12,0))*$C$7+C19*$C$10*IF(C21=1,$C$12,0)*$C$9)/1000000</f>
        <v/>
      </c>
      <c r="D25" s="73">
        <f>(D19*$C$10*(1-IF(D21=1,$C$12,0))*$C$7+D19*$C$10*IF(D21=1,$C$12,0)*$C$9)/1000000</f>
        <v/>
      </c>
      <c r="E25" s="73">
        <f>(E19*$C$10*(1-IF(E21=1,$C$12,0))*$C$7+E19*$C$10*IF(E21=1,$C$12,0)*$C$9)/1000000</f>
        <v/>
      </c>
    </row>
    <row r="26" ht="15" customHeight="1" s="41">
      <c r="B26" s="53" t="inlineStr">
        <is>
          <t>Chat — output</t>
        </is>
      </c>
      <c r="C26" s="73">
        <f>C19*$C$11*$C$8/1000000</f>
        <v/>
      </c>
      <c r="D26" s="73">
        <f>D19*$C$11*$C$8/1000000</f>
        <v/>
      </c>
      <c r="E26" s="73">
        <f>E19*$C$11*$C$8/1000000</f>
        <v/>
      </c>
    </row>
    <row r="27" ht="15" customHeight="1" s="41">
      <c r="B27" s="53" t="inlineStr">
        <is>
          <t>Vision — input (fotos)</t>
        </is>
      </c>
      <c r="C27" s="73">
        <f>C20*$C$13*$C$7/1000000</f>
        <v/>
      </c>
      <c r="D27" s="73">
        <f>D20*$C$13*$C$7/1000000</f>
        <v/>
      </c>
      <c r="E27" s="73">
        <f>E20*$C$13*$C$7/1000000</f>
        <v/>
      </c>
    </row>
    <row r="28" ht="15" customHeight="1" s="41">
      <c r="B28" s="53" t="inlineStr">
        <is>
          <t>Vision — output</t>
        </is>
      </c>
      <c r="C28" s="73">
        <f>C20*$C$14*$C$8/1000000</f>
        <v/>
      </c>
      <c r="D28" s="73">
        <f>D20*$C$14*$C$8/1000000</f>
        <v/>
      </c>
      <c r="E28" s="73">
        <f>E20*$C$14*$C$8/1000000</f>
        <v/>
      </c>
    </row>
    <row r="29" ht="15" customHeight="1" s="41">
      <c r="B29" s="74" t="inlineStr">
        <is>
          <t>Subtotal API + Vision</t>
        </is>
      </c>
      <c r="C29" s="75">
        <f>SUM(C25:C28)</f>
        <v/>
      </c>
      <c r="D29" s="75">
        <f>SUM(D25:D28)</f>
        <v/>
      </c>
      <c r="E29" s="75">
        <f>SUM(E25:E28)</f>
        <v/>
      </c>
    </row>
    <row r="31" ht="15" customHeight="1" s="41">
      <c r="B31" s="50" t="inlineStr">
        <is>
          <t>D) Costos de infraestructura prorrateados (US$/usuario/mes, por escala)</t>
        </is>
      </c>
      <c r="C31" s="51" t="n"/>
      <c r="D31" s="51" t="n"/>
      <c r="E31" s="51" t="n"/>
      <c r="F31" s="51" t="n"/>
      <c r="G31" s="51" t="n"/>
    </row>
    <row r="32" ht="15" customHeight="1" s="41">
      <c r="B32" s="52" t="inlineStr">
        <is>
          <t>Componente (fijo, se diluye)</t>
        </is>
      </c>
      <c r="C32" s="52" t="inlineStr">
        <is>
          <t>1.000 us.</t>
        </is>
      </c>
      <c r="D32" s="52" t="inlineStr">
        <is>
          <t>10.000 us.</t>
        </is>
      </c>
      <c r="E32" s="52" t="inlineStr">
        <is>
          <t>45.000 us.</t>
        </is>
      </c>
      <c r="F32" s="52" t="inlineStr">
        <is>
          <t>Fuente</t>
        </is>
      </c>
    </row>
    <row r="33" ht="23.25" customHeight="1" s="41">
      <c r="B33" s="53" t="inlineStr">
        <is>
          <t>Hosting (Render)</t>
        </is>
      </c>
      <c r="C33" s="76" t="n">
        <v>0.05</v>
      </c>
      <c r="D33" s="76" t="n">
        <v>0.026</v>
      </c>
      <c r="E33" s="76" t="n">
        <v>0.011</v>
      </c>
      <c r="F33" s="53" t="inlineStr">
        <is>
          <t>Render Pricing, 2026</t>
        </is>
      </c>
    </row>
    <row r="34" ht="23.25" customHeight="1" s="41">
      <c r="B34" s="53" t="inlineStr">
        <is>
          <t>Base de datos (Neon Postgres)</t>
        </is>
      </c>
      <c r="C34" s="76" t="n">
        <v>0.04</v>
      </c>
      <c r="D34" s="76" t="n">
        <v>0.025</v>
      </c>
      <c r="E34" s="76" t="n">
        <v>0.016</v>
      </c>
      <c r="F34" s="53" t="inlineStr">
        <is>
          <t>Neon Pricing, 2026</t>
        </is>
      </c>
    </row>
    <row r="35" ht="45.75" customHeight="1" s="41">
      <c r="B35" s="53" t="inlineStr">
        <is>
          <t>Terra API (agregador wearables)</t>
        </is>
      </c>
      <c r="C35" s="76" t="n">
        <v>0.499</v>
      </c>
      <c r="D35" s="76" t="n">
        <v>0.05</v>
      </c>
      <c r="E35" s="76" t="n">
        <v>0.027</v>
      </c>
      <c r="F35" s="53" t="inlineStr">
        <is>
          <t>Terra Pricing, 2026 (~US$ 499/mes base)</t>
        </is>
      </c>
    </row>
    <row r="36" ht="15" customHeight="1" s="41">
      <c r="B36" s="53" t="inlineStr">
        <is>
          <t>Otros (storage/email/auth)</t>
        </is>
      </c>
      <c r="C36" s="76" t="n">
        <v>0.01</v>
      </c>
      <c r="D36" s="76" t="n">
        <v>0.01</v>
      </c>
      <c r="E36" s="76" t="n">
        <v>0.01</v>
      </c>
      <c r="F36" s="53" t="inlineStr">
        <is>
          <t>Estimación</t>
        </is>
      </c>
    </row>
    <row r="37" ht="15" customHeight="1" s="41">
      <c r="B37" s="74" t="inlineStr">
        <is>
          <t>Subtotal infraestructura</t>
        </is>
      </c>
      <c r="C37" s="75">
        <f>SUM(C33:C36)</f>
        <v/>
      </c>
      <c r="D37" s="75">
        <f>SUM(D33:D36)</f>
        <v/>
      </c>
      <c r="E37" s="75">
        <f>SUM(E33:E36)</f>
        <v/>
      </c>
    </row>
    <row r="39" ht="15" customHeight="1" s="41">
      <c r="B39" s="50" t="inlineStr">
        <is>
          <t>E) Resultado — COGS total y margen bruto</t>
        </is>
      </c>
      <c r="C39" s="51" t="n"/>
      <c r="D39" s="51" t="n"/>
      <c r="E39" s="51" t="n"/>
      <c r="F39" s="51" t="n"/>
      <c r="G39" s="51" t="n"/>
    </row>
    <row r="40" ht="15" customHeight="1" s="41">
      <c r="B40" s="52" t="inlineStr">
        <is>
          <t>Métrica (a escala 10.000 us.)</t>
        </is>
      </c>
      <c r="C40" s="52" t="inlineStr">
        <is>
          <t>Liviano</t>
        </is>
      </c>
      <c r="D40" s="52" t="inlineStr">
        <is>
          <t>Medio</t>
        </is>
      </c>
      <c r="E40" s="52" t="inlineStr">
        <is>
          <t>Pesado</t>
        </is>
      </c>
    </row>
    <row r="41" ht="15" customHeight="1" s="41">
      <c r="B41" s="77" t="inlineStr">
        <is>
          <t>COGS total (US$/usuario/mes)</t>
        </is>
      </c>
      <c r="C41" s="73">
        <f>C29+$D$37</f>
        <v/>
      </c>
      <c r="D41" s="73">
        <f>D29+$D$37</f>
        <v/>
      </c>
      <c r="E41" s="73">
        <f>E29+$D$37</f>
        <v/>
      </c>
    </row>
    <row r="42" ht="15" customHeight="1" s="41">
      <c r="B42" s="77" t="inlineStr">
        <is>
          <t>Margen bruto (US$/usuario/mes)</t>
        </is>
      </c>
      <c r="C42" s="78">
        <f>$C$15-C41</f>
        <v/>
      </c>
      <c r="D42" s="78">
        <f>$C$15-D41</f>
        <v/>
      </c>
      <c r="E42" s="78">
        <f>$C$15-E41</f>
        <v/>
      </c>
    </row>
    <row r="43" ht="15" customHeight="1" s="41">
      <c r="B43" s="79" t="inlineStr">
        <is>
          <t>Margen bruto (%)</t>
        </is>
      </c>
      <c r="C43" s="80">
        <f>C42/$C$15</f>
        <v/>
      </c>
      <c r="D43" s="80">
        <f>D42/$C$15</f>
        <v/>
      </c>
      <c r="E43" s="80">
        <f>E42/$C$15</f>
        <v/>
      </c>
    </row>
    <row r="45" ht="15" customHeight="1" s="41">
      <c r="B45" s="47" t="inlineStr">
        <is>
          <t>Caso base (uso medio): COGS ≈ US$ 2,33 → margen bruto ≈ US$ 7,67 (77%). Rango total 46%-88% según intensidad de uso.</t>
        </is>
      </c>
    </row>
  </sheetData>
  <mergeCells count="20">
    <mergeCell ref="F11:G11"/>
    <mergeCell ref="F10:G10"/>
    <mergeCell ref="C9:E9"/>
    <mergeCell ref="F6:G6"/>
    <mergeCell ref="C12:E12"/>
    <mergeCell ref="F7:G7"/>
    <mergeCell ref="C11:E11"/>
    <mergeCell ref="F12:G12"/>
    <mergeCell ref="F15:G15"/>
    <mergeCell ref="C8:E8"/>
    <mergeCell ref="C7:E7"/>
    <mergeCell ref="F8:G8"/>
    <mergeCell ref="C13:E13"/>
    <mergeCell ref="F13:G13"/>
    <mergeCell ref="C15:E15"/>
    <mergeCell ref="F9:G9"/>
    <mergeCell ref="C6:E6"/>
    <mergeCell ref="C14:E14"/>
    <mergeCell ref="F14:G14"/>
    <mergeCell ref="C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18" customWidth="1" style="40" min="2" max="2"/>
    <col width="12" customWidth="1" style="40" min="3" max="3"/>
    <col width="11" customWidth="1" style="40" min="4" max="5"/>
    <col width="18" customWidth="1" style="40" min="6" max="6"/>
    <col width="12" customWidth="1" style="40" min="7" max="7"/>
    <col width="30" customWidth="1" style="40" min="8" max="8"/>
  </cols>
  <sheetData>
    <row r="2" ht="17.25" customHeight="1" s="41">
      <c r="B2" s="48" t="inlineStr">
        <is>
          <t>ANÁLISIS COMPETITIVO</t>
        </is>
      </c>
    </row>
    <row r="4" ht="15" customHeight="1" s="41">
      <c r="B4" s="52" t="inlineStr">
        <is>
          <t>Competidor</t>
        </is>
      </c>
      <c r="C4" s="52" t="inlineStr">
        <is>
          <t>Tipo</t>
        </is>
      </c>
      <c r="D4" s="52" t="inlineStr">
        <is>
          <t>Fundación</t>
        </is>
      </c>
      <c r="E4" s="52" t="inlineStr">
        <is>
          <t>Empleados</t>
        </is>
      </c>
      <c r="F4" s="52" t="inlineStr">
        <is>
          <t>Revenue / Funding</t>
        </is>
      </c>
      <c r="G4" s="52" t="inlineStr">
        <is>
          <t>Precio/mes</t>
        </is>
      </c>
      <c r="H4" s="52" t="inlineStr">
        <is>
          <t>Diferencial / Debilidad principal</t>
        </is>
      </c>
    </row>
    <row r="5" ht="45.75" customHeight="1" s="41">
      <c r="B5" s="53" t="inlineStr">
        <is>
          <t>Bevel</t>
        </is>
      </c>
      <c r="C5" s="53" t="inlineStr">
        <is>
          <t>Startup (directo)</t>
        </is>
      </c>
      <c r="D5" s="53" t="inlineStr">
        <is>
          <t>2023</t>
        </is>
      </c>
      <c r="E5" s="53" t="inlineStr">
        <is>
          <t>n/d</t>
        </is>
      </c>
      <c r="F5" s="53" t="inlineStr">
        <is>
          <t>US$ 14M funding (Series A 2025)</t>
        </is>
      </c>
      <c r="G5" s="53" t="inlineStr">
        <is>
          <t>~US$ 15 (IA)</t>
        </is>
      </c>
      <c r="H5" s="53" t="inlineStr">
        <is>
          <t>Competidor más fuerte: agéntico, completo, integra Garmin, global. Edge de Scala: precio menor, UI conversacional, foco LatAm, GTM con influencers</t>
        </is>
      </c>
    </row>
    <row r="6" ht="34.5" customHeight="1" s="41">
      <c r="B6" s="53" t="inlineStr">
        <is>
          <t>Google Health (Fitbit+Gemini)</t>
        </is>
      </c>
      <c r="C6" s="53" t="inlineStr">
        <is>
          <t>Corporación (directo)</t>
        </is>
      </c>
      <c r="D6" s="53" t="inlineStr">
        <is>
          <t>2007/2021</t>
        </is>
      </c>
      <c r="E6" s="53" t="inlineStr">
        <is>
          <t>n/d</t>
        </is>
      </c>
      <c r="F6" s="53" t="inlineStr">
        <is>
          <t>Fitbit US$ 1,43B (2019)</t>
        </is>
      </c>
      <c r="G6" s="53" t="inlineStr">
        <is>
          <t>US$ 9,99</t>
        </is>
      </c>
      <c r="H6" s="53" t="inlineStr">
        <is>
          <t>AI coach sobre Gemini. Debilidad: atado a hardware Fitbit/Pixel, wellness general</t>
        </is>
      </c>
    </row>
    <row r="7" ht="34.5" customHeight="1" s="41">
      <c r="B7" s="53" t="inlineStr">
        <is>
          <t>Garmin Connect+</t>
        </is>
      </c>
      <c r="C7" s="53" t="inlineStr">
        <is>
          <t>Corporación (nativo)</t>
        </is>
      </c>
      <c r="D7" s="53" t="inlineStr">
        <is>
          <t>1989</t>
        </is>
      </c>
      <c r="E7" s="53" t="inlineStr">
        <is>
          <t>+20.000</t>
        </is>
      </c>
      <c r="F7" s="53" t="inlineStr">
        <is>
          <t>~US$ 6,3B (2024)</t>
        </is>
      </c>
      <c r="G7" s="53" t="inlineStr">
        <is>
          <t>US$ 6,99</t>
        </is>
      </c>
      <c r="H7" s="53" t="inlineStr">
        <is>
          <t>Integración nativa Garmin. Debilidad: 'Active Intelligence' = insights, no coach que ejecuta</t>
        </is>
      </c>
    </row>
    <row r="8" ht="45.75" customHeight="1" s="41">
      <c r="B8" s="53" t="inlineStr">
        <is>
          <t>Apple Fitness+ / Health+</t>
        </is>
      </c>
      <c r="C8" s="53" t="inlineStr">
        <is>
          <t>Corporación (nativo)</t>
        </is>
      </c>
      <c r="D8" s="53" t="inlineStr">
        <is>
          <t>—</t>
        </is>
      </c>
      <c r="E8" s="53" t="inlineStr">
        <is>
          <t>—</t>
        </is>
      </c>
      <c r="F8" s="53" t="inlineStr">
        <is>
          <t>—</t>
        </is>
      </c>
      <c r="G8" s="53" t="inlineStr">
        <is>
          <t>US$ 9,99</t>
        </is>
      </c>
      <c r="H8" s="53" t="inlineStr">
        <is>
          <t>Apple Watch + ecosistema. Debilidad: AI coach (Mulberry) recortado feb-2026; Fitness+ = videos</t>
        </is>
      </c>
    </row>
    <row r="9" ht="34.5" customHeight="1" s="41">
      <c r="B9" s="53" t="inlineStr">
        <is>
          <t>Samsung Health</t>
        </is>
      </c>
      <c r="C9" s="53" t="inlineStr">
        <is>
          <t>Corporación (nativo)</t>
        </is>
      </c>
      <c r="D9" s="53" t="inlineStr">
        <is>
          <t>—</t>
        </is>
      </c>
      <c r="E9" s="53" t="inlineStr">
        <is>
          <t>—</t>
        </is>
      </c>
      <c r="F9" s="53" t="inlineStr">
        <is>
          <t>—</t>
        </is>
      </c>
      <c r="G9" s="53" t="inlineStr">
        <is>
          <t>Gratis</t>
        </is>
      </c>
      <c r="H9" s="53" t="inlineStr">
        <is>
          <t>Integrado a Galaxy Watch. Debilidad: dashboard, no agéntico, atado a Samsung</t>
        </is>
      </c>
    </row>
    <row r="10" ht="34.5" customHeight="1" s="41">
      <c r="B10" s="53" t="inlineStr">
        <is>
          <t>Whoop</t>
        </is>
      </c>
      <c r="C10" s="53" t="inlineStr">
        <is>
          <t>Startup (indirecto)</t>
        </is>
      </c>
      <c r="D10" s="53" t="inlineStr">
        <is>
          <t>2012</t>
        </is>
      </c>
      <c r="E10" s="53" t="inlineStr">
        <is>
          <t>n/d</t>
        </is>
      </c>
      <c r="F10" s="53" t="inlineStr">
        <is>
          <t>~US$ 1,1B rev (2025e); val. US$ 10,1B</t>
        </is>
      </c>
      <c r="G10" s="53" t="inlineStr">
        <is>
          <t>US$ 199+/año</t>
        </is>
      </c>
      <c r="H10" s="53" t="inlineStr">
        <is>
          <t>Whoop Coach (GPT-4). Debilidad: exige hardware propio, foco recovery</t>
        </is>
      </c>
    </row>
    <row r="11" ht="34.5" customHeight="1" s="41">
      <c r="B11" s="53" t="inlineStr">
        <is>
          <t>Oura</t>
        </is>
      </c>
      <c r="C11" s="53" t="inlineStr">
        <is>
          <t>Startup (indirecto)</t>
        </is>
      </c>
      <c r="D11" s="53" t="inlineStr">
        <is>
          <t>2015</t>
        </is>
      </c>
      <c r="E11" s="53" t="inlineStr">
        <is>
          <t>n/d</t>
        </is>
      </c>
      <c r="F11" s="53" t="inlineStr">
        <is>
          <t>&gt;US$ 500M rev (2024); val. US$ 11B</t>
        </is>
      </c>
      <c r="G11" s="53" t="inlineStr">
        <is>
          <t>Ring + sub</t>
        </is>
      </c>
      <c r="H11" s="53" t="inlineStr">
        <is>
          <t>Smart ring de sueño líder. Debilidad: requiere comprar ring, tracking no coach</t>
        </is>
      </c>
    </row>
    <row r="12" ht="34.5" customHeight="1" s="41">
      <c r="B12" s="53" t="inlineStr">
        <is>
          <t>Strava</t>
        </is>
      </c>
      <c r="C12" s="53" t="inlineStr">
        <is>
          <t>Startup (indirecto)</t>
        </is>
      </c>
      <c r="D12" s="53" t="inlineStr">
        <is>
          <t>2009</t>
        </is>
      </c>
      <c r="E12" s="53" t="inlineStr">
        <is>
          <t>~665</t>
        </is>
      </c>
      <c r="F12" s="53" t="inlineStr">
        <is>
          <t>~US$ 415M rev (2025e); val. US$ 2,2B</t>
        </is>
      </c>
      <c r="G12" s="53" t="inlineStr">
        <is>
          <t>US$ 11,99</t>
        </is>
      </c>
      <c r="H12" s="53" t="inlineStr">
        <is>
          <t>Red social, 180M usuarios. Debilidad: logging social, no coaching</t>
        </is>
      </c>
    </row>
    <row r="13" ht="23.25" customHeight="1" s="41">
      <c r="B13" s="53" t="inlineStr">
        <is>
          <t>Future</t>
        </is>
      </c>
      <c r="C13" s="53" t="inlineStr">
        <is>
          <t>Startup (indirecto)</t>
        </is>
      </c>
      <c r="D13" s="53" t="inlineStr">
        <is>
          <t>2019</t>
        </is>
      </c>
      <c r="E13" s="53" t="inlineStr">
        <is>
          <t>n/d</t>
        </is>
      </c>
      <c r="F13" s="53" t="inlineStr">
        <is>
          <t>US$ 110M+ funding</t>
        </is>
      </c>
      <c r="G13" s="53" t="inlineStr">
        <is>
          <t>US$ 149</t>
        </is>
      </c>
      <c r="H13" s="53" t="inlineStr">
        <is>
          <t>Coach humano 1:1. Debilidad: 15x el precio, humano no escala</t>
        </is>
      </c>
    </row>
    <row r="14" ht="23.25" customHeight="1" s="41">
      <c r="B14" s="53" t="inlineStr">
        <is>
          <t>MyFitnessPal</t>
        </is>
      </c>
      <c r="C14" s="53" t="inlineStr">
        <is>
          <t>PE-owned (indirecto)</t>
        </is>
      </c>
      <c r="D14" s="53" t="inlineStr">
        <is>
          <t>2005</t>
        </is>
      </c>
      <c r="E14" s="53" t="inlineStr">
        <is>
          <t>~264</t>
        </is>
      </c>
      <c r="F14" s="53" t="inlineStr">
        <is>
          <t>~US$ 310M rev (2025e)</t>
        </is>
      </c>
      <c r="G14" s="53" t="inlineStr">
        <is>
          <t>US$ 19,99</t>
        </is>
      </c>
      <c r="H14" s="53" t="inlineStr">
        <is>
          <t>Compró Cal AI (2025): suma logueo por foto, pero sigue siendo tracker, no coach agéntico</t>
        </is>
      </c>
    </row>
    <row r="16" ht="15" customHeight="1" s="41">
      <c r="B16" s="47" t="inlineStr">
        <is>
          <t>Nota: revenues de empresas privadas son estimaciones de agregadores (Sacra/Crunchbase/Business of Apps). n/d = no disponible públicamente.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40" min="1" max="1"/>
    <col width="16" customWidth="1" style="40" min="2" max="2"/>
    <col width="42" customWidth="1" style="40" min="3" max="3"/>
    <col width="70" customWidth="1" style="40" min="4" max="4"/>
  </cols>
  <sheetData>
    <row r="2" ht="17.25" customHeight="1" s="41">
      <c r="B2" s="48" t="inlineStr">
        <is>
          <t>FUENTES CONSOLIDADAS</t>
        </is>
      </c>
    </row>
    <row r="4" ht="15" customHeight="1" s="41">
      <c r="B4" s="52" t="inlineStr">
        <is>
          <t>Categoría</t>
        </is>
      </c>
      <c r="C4" s="52" t="inlineStr">
        <is>
          <t>Fuente</t>
        </is>
      </c>
      <c r="D4" s="52" t="inlineStr">
        <is>
          <t>URL</t>
        </is>
      </c>
    </row>
    <row r="5" ht="23.25" customHeight="1" s="41">
      <c r="B5" s="53" t="inlineStr">
        <is>
          <t>Mercado</t>
        </is>
      </c>
      <c r="C5" s="53" t="inlineStr">
        <is>
          <t>Grand View Research — Fitness App Market (2025)</t>
        </is>
      </c>
      <c r="D5" s="81" t="inlineStr">
        <is>
          <t>https://www.grandviewresearch.com/industry-analysis/fitness-app-market</t>
        </is>
      </c>
    </row>
    <row r="6" ht="23.25" customHeight="1" s="41">
      <c r="B6" s="53" t="inlineStr">
        <is>
          <t>Mercado</t>
        </is>
      </c>
      <c r="C6" s="53" t="inlineStr">
        <is>
          <t>Fortune Business Insights — Fitness Tracker Market (2024)</t>
        </is>
      </c>
      <c r="D6" s="81" t="inlineStr">
        <is>
          <t>https://www.fortunebusinessinsights.com/fitness-tracker-market-103358</t>
        </is>
      </c>
    </row>
    <row r="7" ht="23.25" customHeight="1" s="41">
      <c r="B7" s="53" t="inlineStr">
        <is>
          <t>Mercado</t>
        </is>
      </c>
      <c r="C7" s="53" t="inlineStr">
        <is>
          <t>InsightAce Analytic — AI in Fitness &amp; Wellness (2025)</t>
        </is>
      </c>
      <c r="D7" s="81" t="inlineStr">
        <is>
          <t>https://www.insightaceanalytic.com/report/ai-in-fitness-and-wellness-market/2744</t>
        </is>
      </c>
    </row>
    <row r="8" ht="23.25" customHeight="1" s="41">
      <c r="B8" s="53" t="inlineStr">
        <is>
          <t>Mercado</t>
        </is>
      </c>
      <c r="C8" s="53" t="inlineStr">
        <is>
          <t>Market Data Forecast — LatAm Fitness App Market (2024)</t>
        </is>
      </c>
      <c r="D8" s="81" t="inlineStr">
        <is>
          <t>https://www.marketdataforecast.com/market-reports/latin-america-fitness-app-market</t>
        </is>
      </c>
    </row>
    <row r="9" ht="15" customHeight="1" s="41">
      <c r="B9" s="53" t="inlineStr">
        <is>
          <t>Mercado</t>
        </is>
      </c>
      <c r="C9" s="53" t="inlineStr">
        <is>
          <t>Mordor Intelligence — Virtual Fitness Market</t>
        </is>
      </c>
      <c r="D9" s="81" t="inlineStr">
        <is>
          <t>https://www.mordorintelligence.com/industry-reports/virtual-fitness-market</t>
        </is>
      </c>
    </row>
    <row r="10" ht="15" customHeight="1" s="41">
      <c r="B10" s="53" t="inlineStr">
        <is>
          <t>Argentina</t>
        </is>
      </c>
      <c r="C10" s="53" t="inlineStr">
        <is>
          <t>INDEC — Censo 2022 (población)</t>
        </is>
      </c>
      <c r="D10" s="81" t="inlineStr">
        <is>
          <t>https://www.indec.gob.ar/indec/web/Nivel4-Tema-2-41-165</t>
        </is>
      </c>
    </row>
    <row r="11" ht="23.25" customHeight="1" s="41">
      <c r="B11" s="53" t="inlineStr">
        <is>
          <t>Argentina</t>
        </is>
      </c>
      <c r="C11" s="53" t="inlineStr">
        <is>
          <t>INDEC — 4ª Encuesta Nacional de Factores de Riesgo 2018</t>
        </is>
      </c>
      <c r="D11" s="81" t="inlineStr">
        <is>
          <t>https://www.indec.gob.ar/ftp/cuadros/publicaciones/enfr_2018_resultados_definitivos.pdf</t>
        </is>
      </c>
    </row>
    <row r="12" ht="15" customHeight="1" s="41">
      <c r="B12" s="53" t="inlineStr">
        <is>
          <t>Argentina</t>
        </is>
      </c>
      <c r="C12" s="53" t="inlineStr">
        <is>
          <t>Secretaría de Deportes — ENAFyD 2023</t>
        </is>
      </c>
      <c r="D12" s="81" t="inlineStr">
        <is>
          <t>https://www.argentina.gob.ar/sites/default/files/enafyd_2023_-_digital.pdf</t>
        </is>
      </c>
    </row>
    <row r="13" ht="15" customHeight="1" s="41">
      <c r="B13" s="53" t="inlineStr">
        <is>
          <t>Argentina</t>
        </is>
      </c>
      <c r="C13" s="53" t="inlineStr">
        <is>
          <t>World Bank — Población 15-64 (% total)</t>
        </is>
      </c>
      <c r="D13" s="81" t="inlineStr">
        <is>
          <t>https://data.worldbank.org/indicator/SP.POP.1564.TO.ZS</t>
        </is>
      </c>
    </row>
    <row r="14" ht="15" customHeight="1" s="41">
      <c r="B14" s="53" t="inlineStr">
        <is>
          <t>Argentina</t>
        </is>
      </c>
      <c r="C14" s="53" t="inlineStr">
        <is>
          <t>Statista — Smartphone users Argentina</t>
        </is>
      </c>
      <c r="D14" s="81" t="inlineStr">
        <is>
          <t>https://www.statista.com/forecasts/285600/number-of-smartphone-users-in-argentina/</t>
        </is>
      </c>
    </row>
    <row r="15" ht="15" customHeight="1" s="41">
      <c r="B15" s="53" t="inlineStr">
        <is>
          <t>Argentina</t>
        </is>
      </c>
      <c r="C15" s="53" t="inlineStr">
        <is>
          <t>DataReportal — Digital 2024 Argentina</t>
        </is>
      </c>
      <c r="D15" s="81" t="inlineStr">
        <is>
          <t>https://datareportal.com/reports/digital-2024-argentina</t>
        </is>
      </c>
    </row>
    <row r="16" ht="15" customHeight="1" s="41">
      <c r="B16" s="53" t="inlineStr">
        <is>
          <t>Argentina</t>
        </is>
      </c>
      <c r="C16" s="53" t="inlineStr">
        <is>
          <t>SAIMO / Infonegocios — Índice NSE (ABC1, C2)</t>
        </is>
      </c>
      <c r="D16" s="81" t="inlineStr">
        <is>
          <t>https://infonegocios.info/nota-principal/el-nivel-abc1-en-su-minima-expresion-solo-4-9-de-la-poblacion-esta-en-tope-del-nse-que-usan-los-marketineros</t>
        </is>
      </c>
    </row>
    <row r="17" ht="23.25" customHeight="1" s="41">
      <c r="B17" s="53" t="inlineStr">
        <is>
          <t>Argentina</t>
        </is>
      </c>
      <c r="C17" s="53" t="inlineStr">
        <is>
          <t>Infonegocios — Cámara de Gimnasios (penetración fitness)</t>
        </is>
      </c>
      <c r="D17" s="81" t="inlineStr">
        <is>
          <t>https://infonegocios.info/plus/y-vos-con-esa-panza-en-el-pais-hay-7-900-gimnasios-a-los-que-asisten-solo-2-8-millones-6-4-si-93-6-no</t>
        </is>
      </c>
    </row>
    <row r="18" ht="23.25" customHeight="1" s="41">
      <c r="B18" s="53" t="inlineStr">
        <is>
          <t>Industria</t>
        </is>
      </c>
      <c r="C18" s="53" t="inlineStr">
        <is>
          <t>Rock Health — 2025 Year-End Digital Health Funding</t>
        </is>
      </c>
      <c r="D18" s="81" t="inlineStr">
        <is>
          <t>https://rockhealth.com/insights/2025-year-end-digital-health-funding-overview-a-tale-of-two-markets/</t>
        </is>
      </c>
    </row>
    <row r="19" ht="15" customHeight="1" s="41">
      <c r="B19" s="53" t="inlineStr">
        <is>
          <t>Industria</t>
        </is>
      </c>
      <c r="C19" s="53" t="inlineStr">
        <is>
          <t>McKinsey — Generative AI in Healthcare</t>
        </is>
      </c>
      <c r="D19" s="81" t="inlineStr">
        <is>
          <t>https://www.mckinsey.com/industries/healthcare/our-insights/generative-ai-in-healthcare-current-trends-and-future-outlook</t>
        </is>
      </c>
    </row>
    <row r="20" ht="15" customHeight="1" s="41">
      <c r="B20" s="53" t="inlineStr">
        <is>
          <t>Industria</t>
        </is>
      </c>
      <c r="C20" s="53" t="inlineStr">
        <is>
          <t>Market.us — Fitness App Market (estructura)</t>
        </is>
      </c>
      <c r="D20" s="81" t="inlineStr">
        <is>
          <t>https://market.us/report/fitness-app-market/</t>
        </is>
      </c>
    </row>
    <row r="21" ht="23.25" customHeight="1" s="41">
      <c r="B21" s="53" t="inlineStr">
        <is>
          <t>Industria</t>
        </is>
      </c>
      <c r="C21" s="53" t="inlineStr">
        <is>
          <t>Grand View Research — Wearable Technology Market</t>
        </is>
      </c>
      <c r="D21" s="81" t="inlineStr">
        <is>
          <t>https://www.grandviewresearch.com/industry-analysis/wearable-technology-market</t>
        </is>
      </c>
    </row>
    <row r="22" ht="15" customHeight="1" s="41">
      <c r="B22" s="53" t="inlineStr">
        <is>
          <t>Industria</t>
        </is>
      </c>
      <c r="C22" s="53" t="inlineStr">
        <is>
          <t>IDC — Wearables (market share)</t>
        </is>
      </c>
      <c r="D22" s="81" t="inlineStr">
        <is>
          <t>https://www.idc.com/promo/wearablevendor/</t>
        </is>
      </c>
    </row>
    <row r="23" ht="15" customHeight="1" s="41">
      <c r="B23" s="53" t="inlineStr">
        <is>
          <t>Industria</t>
        </is>
      </c>
      <c r="C23" s="53" t="inlineStr">
        <is>
          <t>RetentionCheck — Fitness App Churn 2026</t>
        </is>
      </c>
      <c r="D23" s="81" t="inlineStr">
        <is>
          <t>https://retentioncheck.com/churn-benchmarks/fitness-apps</t>
        </is>
      </c>
    </row>
    <row r="24" ht="15" customHeight="1" s="41">
      <c r="B24" s="53" t="inlineStr">
        <is>
          <t>Industria</t>
        </is>
      </c>
      <c r="C24" s="53" t="inlineStr">
        <is>
          <t>Eagle Rock CFO — SaaS Benchmarks 2026</t>
        </is>
      </c>
      <c r="D24" s="81" t="inlineStr">
        <is>
          <t>https://www.eaglerockcfo.com/blog/research/saas-finance-metrics-benchmarks</t>
        </is>
      </c>
    </row>
    <row r="25" ht="15" customHeight="1" s="41">
      <c r="B25" s="53" t="inlineStr">
        <is>
          <t>Competencia</t>
        </is>
      </c>
      <c r="C25" s="53" t="inlineStr">
        <is>
          <t>TechCrunch — Bevel raises $10M Series A (2025)</t>
        </is>
      </c>
      <c r="D25" s="81" t="inlineStr">
        <is>
          <t>https://techcrunch.com/2025/10/30/bevel-raises-10m-series-a-from-general-catalyst-for-its-ai-health-companion/</t>
        </is>
      </c>
    </row>
    <row r="26" ht="23.25" customHeight="1" s="41">
      <c r="B26" s="53" t="inlineStr">
        <is>
          <t>Competencia</t>
        </is>
      </c>
      <c r="C26" s="53" t="inlineStr">
        <is>
          <t>TechCrunch — Google's $9.99 AI health coach (2026)</t>
        </is>
      </c>
      <c r="D26" s="81" t="inlineStr">
        <is>
          <t>https://techcrunch.com/2026/05/07/googles-9-99-per-month-ai-health-coach-launches-may-19/</t>
        </is>
      </c>
    </row>
    <row r="27" ht="15" customHeight="1" s="41">
      <c r="B27" s="53" t="inlineStr">
        <is>
          <t>Competencia</t>
        </is>
      </c>
      <c r="C27" s="53" t="inlineStr">
        <is>
          <t>Garmin Newsroom — Connect+ (2025)</t>
        </is>
      </c>
      <c r="D27" s="81" t="inlineStr">
        <is>
          <t>https://www.garmin.com/en-US/newsroom/press-release/wearables-health/elevate-your-health-and-fitness-goals-with-garmin-connect/</t>
        </is>
      </c>
    </row>
    <row r="28" ht="23.25" customHeight="1" s="41">
      <c r="B28" s="53" t="inlineStr">
        <is>
          <t>Competencia</t>
        </is>
      </c>
      <c r="C28" s="53" t="inlineStr">
        <is>
          <t>Bloomberg — Apple scales back AI health coach (2026)</t>
        </is>
      </c>
      <c r="D28" s="81" t="inlineStr">
        <is>
          <t>https://www.bloomberg.com/news/articles/2026-02-05/apple-is-scaling-back-plans-for-new-ai-based-health-coach-service</t>
        </is>
      </c>
    </row>
    <row r="29" ht="15" customHeight="1" s="41">
      <c r="B29" s="53" t="inlineStr">
        <is>
          <t>Competencia</t>
        </is>
      </c>
      <c r="C29" s="53" t="inlineStr">
        <is>
          <t>Whoop — Series G $575M at $10.1B (2026)</t>
        </is>
      </c>
      <c r="D29" s="81" t="inlineStr">
        <is>
          <t>https://www.whoop.com/us/en/press-center/whoop-announces-series-g-funding/</t>
        </is>
      </c>
    </row>
    <row r="30" ht="15" customHeight="1" s="41">
      <c r="B30" s="53" t="inlineStr">
        <is>
          <t>Competencia</t>
        </is>
      </c>
      <c r="C30" s="53" t="inlineStr">
        <is>
          <t>CNBC — Oura $11B valuation (2025)</t>
        </is>
      </c>
      <c r="D30" s="81" t="inlineStr">
        <is>
          <t>https://www.cnbc.com/2025/10/14/oura-ringmaker-valuation-fundraise.html</t>
        </is>
      </c>
    </row>
    <row r="31" ht="15" customHeight="1" s="41">
      <c r="B31" s="53" t="inlineStr">
        <is>
          <t>Competencia</t>
        </is>
      </c>
      <c r="C31" s="53" t="inlineStr">
        <is>
          <t>Business of Apps — Strava / MyFitnessPal stats</t>
        </is>
      </c>
      <c r="D31" s="81" t="inlineStr">
        <is>
          <t>https://www.businessofapps.com/data/strava-statistics/</t>
        </is>
      </c>
    </row>
    <row r="32" ht="15" customHeight="1" s="41">
      <c r="B32" s="53" t="inlineStr">
        <is>
          <t>Unit econ.</t>
        </is>
      </c>
      <c r="C32" s="53" t="inlineStr">
        <is>
          <t>Anthropic — Claude API Pricing (2026)</t>
        </is>
      </c>
      <c r="D32" s="81" t="inlineStr">
        <is>
          <t>https://platform.claude.com/docs/en/about-claude/pricing</t>
        </is>
      </c>
    </row>
    <row r="33" ht="15" customHeight="1" s="41">
      <c r="B33" s="53" t="inlineStr">
        <is>
          <t>Unit econ.</t>
        </is>
      </c>
      <c r="C33" s="53" t="inlineStr">
        <is>
          <t>Render — Pricing (2026)</t>
        </is>
      </c>
      <c r="D33" s="81" t="inlineStr">
        <is>
          <t>https://render.com/pricing</t>
        </is>
      </c>
    </row>
    <row r="34" ht="15" customHeight="1" s="41">
      <c r="B34" s="53" t="inlineStr">
        <is>
          <t>Unit econ.</t>
        </is>
      </c>
      <c r="C34" s="53" t="inlineStr">
        <is>
          <t>Neon — Pricing (2026)</t>
        </is>
      </c>
      <c r="D34" s="81" t="inlineStr">
        <is>
          <t>https://neon.com/pricing</t>
        </is>
      </c>
    </row>
    <row r="35" ht="15" customHeight="1" s="41">
      <c r="B35" s="53" t="inlineStr">
        <is>
          <t>Unit econ.</t>
        </is>
      </c>
      <c r="C35" s="53" t="inlineStr">
        <is>
          <t>Terra API — Pricing (2026)</t>
        </is>
      </c>
      <c r="D35" s="81" t="inlineStr">
        <is>
          <t>https://tryterra.co/pricing</t>
        </is>
      </c>
    </row>
  </sheetData>
  <hyperlinks>
    <hyperlink xmlns:r="http://schemas.openxmlformats.org/officeDocument/2006/relationships" ref="D5" display="https://www.grandviewresearch.com/industry-analysis/fitness-app-market" r:id="rId1"/>
    <hyperlink xmlns:r="http://schemas.openxmlformats.org/officeDocument/2006/relationships" ref="D6" display="https://www.fortunebusinessinsights.com/fitness-tracker-market-103358" r:id="rId2"/>
    <hyperlink xmlns:r="http://schemas.openxmlformats.org/officeDocument/2006/relationships" ref="D7" display="https://www.insightaceanalytic.com/report/ai-in-fitness-and-wellness-market/2744" r:id="rId3"/>
    <hyperlink xmlns:r="http://schemas.openxmlformats.org/officeDocument/2006/relationships" ref="D8" display="https://www.marketdataforecast.com/market-reports/latin-america-fitness-app-market" r:id="rId4"/>
    <hyperlink xmlns:r="http://schemas.openxmlformats.org/officeDocument/2006/relationships" ref="D9" display="https://www.mordorintelligence.com/industry-reports/virtual-fitness-market" r:id="rId5"/>
    <hyperlink xmlns:r="http://schemas.openxmlformats.org/officeDocument/2006/relationships" ref="D10" display="https://www.indec.gob.ar/indec/web/Nivel4-Tema-2-41-165" r:id="rId6"/>
    <hyperlink xmlns:r="http://schemas.openxmlformats.org/officeDocument/2006/relationships" ref="D11" display="https://www.indec.gob.ar/ftp/cuadros/publicaciones/enfr_2018_resultados_definitivos.pdf" r:id="rId7"/>
    <hyperlink xmlns:r="http://schemas.openxmlformats.org/officeDocument/2006/relationships" ref="D12" display="https://www.argentina.gob.ar/sites/default/files/enafyd_2023_-_digital.pdf" r:id="rId8"/>
    <hyperlink xmlns:r="http://schemas.openxmlformats.org/officeDocument/2006/relationships" ref="D13" display="https://data.worldbank.org/indicator/SP.POP.1564.TO.ZS" r:id="rId9"/>
    <hyperlink xmlns:r="http://schemas.openxmlformats.org/officeDocument/2006/relationships" ref="D14" display="https://www.statista.com/forecasts/285600/number-of-smartphone-users-in-argentina/" r:id="rId10"/>
    <hyperlink xmlns:r="http://schemas.openxmlformats.org/officeDocument/2006/relationships" ref="D15" display="https://datareportal.com/reports/digital-2024-argentina" r:id="rId11"/>
    <hyperlink xmlns:r="http://schemas.openxmlformats.org/officeDocument/2006/relationships" ref="D16" display="https://infonegocios.info/nota-principal/el-nivel-abc1-en-su-minima-expresion-solo-4-9-de-la-poblacion-esta-en-tope-del-nse-que-usan-los-marketineros" r:id="rId12"/>
    <hyperlink xmlns:r="http://schemas.openxmlformats.org/officeDocument/2006/relationships" ref="D17" display="https://infonegocios.info/plus/y-vos-con-esa-panza-en-el-pais-hay-7-900-gimnasios-a-los-que-asisten-solo-2-8-millones-6-4-si-93-6-no" r:id="rId13"/>
    <hyperlink xmlns:r="http://schemas.openxmlformats.org/officeDocument/2006/relationships" ref="D18" display="https://rockhealth.com/insights/2025-year-end-digital-health-funding-overview-a-tale-of-two-markets/" r:id="rId14"/>
    <hyperlink xmlns:r="http://schemas.openxmlformats.org/officeDocument/2006/relationships" ref="D19" display="https://www.mckinsey.com/industries/healthcare/our-insights/generative-ai-in-healthcare-current-trends-and-future-outlook" r:id="rId15"/>
    <hyperlink xmlns:r="http://schemas.openxmlformats.org/officeDocument/2006/relationships" ref="D20" display="https://market.us/report/fitness-app-market/" r:id="rId16"/>
    <hyperlink xmlns:r="http://schemas.openxmlformats.org/officeDocument/2006/relationships" ref="D21" display="https://www.grandviewresearch.com/industry-analysis/wearable-technology-market" r:id="rId17"/>
    <hyperlink xmlns:r="http://schemas.openxmlformats.org/officeDocument/2006/relationships" ref="D22" display="https://www.idc.com/promo/wearablevendor/" r:id="rId18"/>
    <hyperlink xmlns:r="http://schemas.openxmlformats.org/officeDocument/2006/relationships" ref="D23" display="https://retentioncheck.com/churn-benchmarks/fitness-apps" r:id="rId19"/>
    <hyperlink xmlns:r="http://schemas.openxmlformats.org/officeDocument/2006/relationships" ref="D24" display="https://www.eaglerockcfo.com/blog/research/saas-finance-metrics-benchmarks" r:id="rId20"/>
    <hyperlink xmlns:r="http://schemas.openxmlformats.org/officeDocument/2006/relationships" ref="D25" display="https://techcrunch.com/2025/10/30/bevel-raises-10m-series-a-from-general-catalyst-for-its-ai-health-companion/" r:id="rId21"/>
    <hyperlink xmlns:r="http://schemas.openxmlformats.org/officeDocument/2006/relationships" ref="D26" display="https://techcrunch.com/2026/05/07/googles-9-99-per-month-ai-health-coach-launches-may-19/" r:id="rId22"/>
    <hyperlink xmlns:r="http://schemas.openxmlformats.org/officeDocument/2006/relationships" ref="D27" display="https://www.garmin.com/en-US/newsroom/press-release/wearables-health/elevate-your-health-and-fitness-goals-with-garmin-connect/" r:id="rId23"/>
    <hyperlink xmlns:r="http://schemas.openxmlformats.org/officeDocument/2006/relationships" ref="D28" display="https://www.bloomberg.com/news/articles/2026-02-05/apple-is-scaling-back-plans-for-new-ai-based-health-coach-service" r:id="rId24"/>
    <hyperlink xmlns:r="http://schemas.openxmlformats.org/officeDocument/2006/relationships" ref="D29" display="https://www.whoop.com/us/en/press-center/whoop-announces-series-g-funding/" r:id="rId25"/>
    <hyperlink xmlns:r="http://schemas.openxmlformats.org/officeDocument/2006/relationships" ref="D30" display="https://www.cnbc.com/2025/10/14/oura-ringmaker-valuation-fundraise.html" r:id="rId26"/>
    <hyperlink xmlns:r="http://schemas.openxmlformats.org/officeDocument/2006/relationships" ref="D31" display="https://www.businessofapps.com/data/strava-statistics/" r:id="rId27"/>
    <hyperlink xmlns:r="http://schemas.openxmlformats.org/officeDocument/2006/relationships" ref="D32" display="https://platform.claude.com/docs/en/about-claude/pricing" r:id="rId28"/>
    <hyperlink xmlns:r="http://schemas.openxmlformats.org/officeDocument/2006/relationships" ref="D33" display="https://render.com/pricing" r:id="rId29"/>
    <hyperlink xmlns:r="http://schemas.openxmlformats.org/officeDocument/2006/relationships" ref="D34" display="https://neon.com/pricing" r:id="rId30"/>
    <hyperlink xmlns:r="http://schemas.openxmlformats.org/officeDocument/2006/relationships" ref="D35" display="https://tryterra.co/pricing" r:id="rId3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2026-06-02T20:56:54Z</dcterms:created>
  <dcterms:modified xmlns:dcterms="http://purl.org/dc/terms/" xmlns:xsi="http://www.w3.org/2001/XMLSchema-instance" xsi:type="dcterms:W3CDTF">2026-06-03T22:32:40Z</dcterms:modified>
  <cp:revision>0</cp:revision>
</cp:coreProperties>
</file>