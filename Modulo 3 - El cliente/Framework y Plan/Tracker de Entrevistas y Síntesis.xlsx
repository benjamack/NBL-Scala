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Hipótesis" sheetId="2" state="visible" r:id="rId4"/>
    <sheet name="Plan y Cuotas" sheetId="3" state="visible" r:id="rId5"/>
    <sheet name="Registro Entrevistas" sheetId="4" state="visible" r:id="rId6"/>
    <sheet name="Observaciones" sheetId="5" state="visible" r:id="rId7"/>
    <sheet name="Patrones e Insights" sheetId="6" state="visible" r:id="rId8"/>
    <sheet name="Priorización JPG" sheetId="7" state="visible" r:id="rId9"/>
    <sheet name="Encuesta (PMF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<sst xmlns="http://schemas.openxmlformats.org/spreadsheetml/2006/main" count="256" uniqueCount="207">
  <si>
    <t xml:space="preserve">Tracker de Entrevistas y Síntesis — Módulo 3 · Scala</t>
  </si>
  <si>
    <t xml:space="preserve">Cómo usar este tracker (flujo Lean Startup del Módulo 3):</t>
  </si>
  <si>
    <t xml:space="preserve">1. Hipótesis — dejá explícitas las creencias a testear ANTES de entrevistar. Actualizá el estado a medida que llega evidencia.</t>
  </si>
  <si>
    <t xml:space="preserve">2. Plan y Cuotas — definí a quién entrevistar para no sesgar la muestra. Objetivo: 15 entrevistas B2C + 2 influencers (extra GTM).</t>
  </si>
  <si>
    <t xml:space="preserve">3. Registro Entrevistas — una fila por entrevista. Cargá datos, link a la grabación/desgrabación y notas clave.</t>
  </si>
  <si>
    <t xml:space="preserve">4. Observaciones — volcá observaciones crudas (una por fila) con la cita y a qué entrevista pertenece. Es el material para sintetizar.</t>
  </si>
  <si>
    <t xml:space="preserve">5. Patrones e Insights — agrupá observaciones que se repiten (patrón) y extraé el insight no obvio detrás.</t>
  </si>
  <si>
    <t xml:space="preserve">6. Priorización JPG — puntuá Jobs/Pains/Gains por relevancia, tangibilidad, insatisfacción y volumen. El score ordena qué atacar.</t>
  </si>
  <si>
    <t xml:space="preserve">7. Encuesta (PMF) — resumen de la encuesta cuantitativa complementaria, incluida la pregunta de Sean Ellis (≥40% 'muy decepcionado' = señal de PMF).</t>
  </si>
  <si>
    <t xml:space="preserve">Reglas de oro: aprender del problema, no vender. Hechos del pasado, no opiniones del futuro. 5 Whys. No mencionar Scala hasta el final.</t>
  </si>
  <si>
    <t xml:space="preserve">Mínimos NBL: 15 entrevistas (B2C). Duración 20–30 min. Grabar y desgrabar. La dupla agenda la reunión de mentor a mediados de mes.</t>
  </si>
  <si>
    <t xml:space="preserve">Hipótesis a validar</t>
  </si>
  <si>
    <t xml:space="preserve">Confirmar o romper con el trabajo de campo. Estado: Abierta / Confirmada / Refutada / Matizada</t>
  </si>
  <si>
    <t xml:space="preserve">#</t>
  </si>
  <si>
    <t xml:space="preserve">Hipótesis</t>
  </si>
  <si>
    <t xml:space="preserve">Cómo se testea</t>
  </si>
  <si>
    <t xml:space="preserve">Qué la rompería</t>
  </si>
  <si>
    <t xml:space="preserve">Evidencia a favor</t>
  </si>
  <si>
    <t xml:space="preserve">Evidencia en contra</t>
  </si>
  <si>
    <t xml:space="preserve">Estado</t>
  </si>
  <si>
    <t xml:space="preserve">H1</t>
  </si>
  <si>
    <t xml:space="preserve">El atleta siente que tiene datos pero no sabe accionarlos</t>
  </si>
  <si>
    <t xml:space="preserve">Preguntas abiertas sobre qué hace con los datos del wearable</t>
  </si>
  <si>
    <t xml:space="preserve">Que mire el dato y ya sepa qué hacer</t>
  </si>
  <si>
    <t xml:space="preserve">Abierta</t>
  </si>
  <si>
    <t xml:space="preserve">H2</t>
  </si>
  <si>
    <t xml:space="preserve">Hoy resuelve con apps fragmentadas + (a veces) coach humano</t>
  </si>
  <si>
    <t xml:space="preserve">Mapear su stack de apps y gasto</t>
  </si>
  <si>
    <t xml:space="preserve">Que una sola app le resuelva todo</t>
  </si>
  <si>
    <t xml:space="preserve">H3</t>
  </si>
  <si>
    <t xml:space="preserve">Es un problema frecuente (decisiones diarias)</t>
  </si>
  <si>
    <t xml:space="preserve">Indagar la rutina de decisión día a día</t>
  </si>
  <si>
    <t xml:space="preserve">Que las decisiones sean esporádicas/irrelevantes</t>
  </si>
  <si>
    <t xml:space="preserve">H4</t>
  </si>
  <si>
    <t xml:space="preserve">Hay disposición a pagar por asesoramiento personalizado</t>
  </si>
  <si>
    <t xml:space="preserve">Indagar qué pagó/pagaría y por qué</t>
  </si>
  <si>
    <t xml:space="preserve">Que no pague nada ni piense pagar</t>
  </si>
  <si>
    <t xml:space="preserve">H5</t>
  </si>
  <si>
    <t xml:space="preserve">El wearable es opcional: sin él también quieren estructura</t>
  </si>
  <si>
    <t xml:space="preserve">Incluir entrevistados sin wearable</t>
  </si>
  <si>
    <t xml:space="preserve">Que sin wearable no haya interés</t>
  </si>
  <si>
    <t xml:space="preserve">H6</t>
  </si>
  <si>
    <t xml:space="preserve">La conversación sería forma natural de gestionar todo</t>
  </si>
  <si>
    <t xml:space="preserve">Indagar cómo le gusta recibir guía + reacción al concepto</t>
  </si>
  <si>
    <t xml:space="preserve">Que prefiera autoservicio/dashboards</t>
  </si>
  <si>
    <t xml:space="preserve">Plan de muestreo y reclutamiento</t>
  </si>
  <si>
    <t xml:space="preserve">Variedad para no sesgar. Objetivo total: 15 B2C + 2 influencers (extra).</t>
  </si>
  <si>
    <t xml:space="preserve">Eje</t>
  </si>
  <si>
    <t xml:space="preserve">Cuota objetivo</t>
  </si>
  <si>
    <t xml:space="preserve">Cargados (auto)</t>
  </si>
  <si>
    <t xml:space="preserve">Notas</t>
  </si>
  <si>
    <t xml:space="preserve">Running</t>
  </si>
  <si>
    <t xml:space="preserve">~5</t>
  </si>
  <si>
    <t xml:space="preserve">Clubes de running, contactos</t>
  </si>
  <si>
    <t xml:space="preserve">Ciclismo / Triatlón</t>
  </si>
  <si>
    <t xml:space="preserve">~3</t>
  </si>
  <si>
    <t xml:space="preserve">Grupos de ciclismo</t>
  </si>
  <si>
    <t xml:space="preserve">Gym / Fuerza</t>
  </si>
  <si>
    <t xml:space="preserve">~4</t>
  </si>
  <si>
    <t xml:space="preserve">Boxes de crossfit, gimnasios</t>
  </si>
  <si>
    <t xml:space="preserve">Raqueta / Otros</t>
  </si>
  <si>
    <t xml:space="preserve">Club de tenis/pádel</t>
  </si>
  <si>
    <t xml:space="preserve">Sin wearable (subset)</t>
  </si>
  <si>
    <t xml:space="preserve">Importante para H5</t>
  </si>
  <si>
    <t xml:space="preserve">Mujeres (subset)</t>
  </si>
  <si>
    <t xml:space="preserve">~5–6</t>
  </si>
  <si>
    <t xml:space="preserve">Nutre sub-segmento ciclo</t>
  </si>
  <si>
    <t xml:space="preserve">Ya usuarios de Scala (subset)</t>
  </si>
  <si>
    <t xml:space="preserve">2–3</t>
  </si>
  <si>
    <t xml:space="preserve">Para el comparativo (punto 5)</t>
  </si>
  <si>
    <t xml:space="preserve">TOTAL entrevistas B2C cargadas</t>
  </si>
  <si>
    <t xml:space="preserve">Mínimo requerido (NBL B2C)</t>
  </si>
  <si>
    <t xml:space="preserve">Registro de entrevistas</t>
  </si>
  <si>
    <t xml:space="preserve">Una fila por entrevista. Tipo: B2C (cuenta para las 15) o Influencer (extra).</t>
  </si>
  <si>
    <t xml:space="preserve">ID</t>
  </si>
  <si>
    <t xml:space="preserve">Fecha</t>
  </si>
  <si>
    <t xml:space="preserve">Nombre/Alias</t>
  </si>
  <si>
    <t xml:space="preserve">Edad</t>
  </si>
  <si>
    <t xml:space="preserve">Deporte</t>
  </si>
  <si>
    <t xml:space="preserve">Género (M/F)</t>
  </si>
  <si>
    <t xml:space="preserve">Wearable (Sí/No)</t>
  </si>
  <si>
    <t xml:space="preserve">Nivel</t>
  </si>
  <si>
    <t xml:space="preserve">¿Usa Scala? (Sí/No)</t>
  </si>
  <si>
    <t xml:space="preserve">Link grabación / desgrab.</t>
  </si>
  <si>
    <t xml:space="preserve">Tipo</t>
  </si>
  <si>
    <t xml:space="preserve">Notas clave / pain dominante</t>
  </si>
  <si>
    <t xml:space="preserve">E1</t>
  </si>
  <si>
    <t xml:space="preserve">B2C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</si>
  <si>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</si>
  <si>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</si>
  <si>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</si>
  <si>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</si>
  <si>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</si>
  <si>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Ciclismo/Triatlón</t>
  </si>
  <si>
    <t xml:space="preserve">E7</t>
  </si>
  <si>
    <t xml:space="preserve">E8</t>
  </si>
  <si>
    <t xml:space="preserve">E9</t>
  </si>
  <si>
    <t xml:space="preserve">Gym/Fuerza</t>
  </si>
  <si>
    <t xml:space="preserve">E10</t>
  </si>
  <si>
    <t xml:space="preserve">E11</t>
  </si>
  <si>
    <t xml:space="preserve">E12</t>
  </si>
  <si>
    <t xml:space="preserve">E13</t>
  </si>
  <si>
    <t xml:space="preserve">Raqueta/Otros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</si>
  <si>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</si>
  <si>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</si>
  <si>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</si>
  <si>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</si>
  <si>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</si>
  <si>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I1</t>
  </si>
  <si>
    <t xml:space="preserve">Atleta-referente</t>
  </si>
  <si>
    <t xml:space="preserve">Influencer</t>
  </si>
  <si>
    <t xml:space="preserve">I2</t>
  </si>
  <si>
    <t xml:space="preserve">Observaciones crudas</t>
  </si>
  <si>
    <t xml:space="preserve">Una observación por fila. Volcá citas textuales y de qué entrevista vienen. Material para sintetizar.</t>
  </si>
  <si>
    <t xml:space="preserve">ID obs</t>
  </si>
  <si>
    <t xml:space="preserve">Entrevista (ID)</t>
  </si>
  <si>
    <t xml:space="preserve">Tema (Job/Pain/Gain/Otro)</t>
  </si>
  <si>
    <t xml:space="preserve">Observación / cita textual</t>
  </si>
  <si>
    <t xml:space="preserve">¿Sorprende?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</si>
  <si>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</si>
  <si>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</si>
  <si>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</si>
  <si>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</si>
  <si>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</si>
  <si>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</si>
  <si>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</si>
  <si>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</si>
  <si>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</si>
  <si>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</si>
  <si>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</si>
  <si>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</si>
  <si>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</si>
  <si>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</si>
  <si>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</si>
  <si>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</si>
  <si>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</si>
  <si>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</si>
  <si>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</si>
  <si>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</si>
  <si>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</si>
  <si>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</si>
  <si>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</si>
  <si>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</si>
  <si>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O25</t>
  </si>
  <si>
    <t xml:space="preserve">O26</t>
  </si>
  <si>
    <t xml:space="preserve">O27</t>
  </si>
  <si>
    <t xml:space="preserve">O28</t>
  </si>
  <si>
    <t xml:space="preserve">O29</t>
  </si>
  <si>
    <t xml:space="preserve">O30</t>
  </si>
  <si>
    <t xml:space="preserve">O31</t>
  </si>
  <si>
    <t xml:space="preserve">O32</t>
  </si>
  <si>
    <t xml:space="preserve">O33</t>
  </si>
  <si>
    <t xml:space="preserve">O34</t>
  </si>
  <si>
    <t xml:space="preserve">O35</t>
  </si>
  <si>
    <t xml:space="preserve">O36</t>
  </si>
  <si>
    <t xml:space="preserve">O37</t>
  </si>
  <si>
    <t xml:space="preserve">O38</t>
  </si>
  <si>
    <t xml:space="preserve">O39</t>
  </si>
  <si>
    <t xml:space="preserve">O40</t>
  </si>
  <si>
    <t xml:space="preserve">Patrones e Insights</t>
  </si>
  <si>
    <t xml:space="preserve">Patrón = lo que se repite. Insight = lo no obvio detrás del patrón.</t>
  </si>
  <si>
    <t xml:space="preserve">Patrón observado</t>
  </si>
  <si>
    <t xml:space="preserve"># entrevistas que lo mencionan</t>
  </si>
  <si>
    <t xml:space="preserve">Insight (no obvio)</t>
  </si>
  <si>
    <t xml:space="preserve">Implicancia para Scala</t>
  </si>
  <si>
    <t xml:space="preserve">Priorización de Jobs / Pains / Gains</t>
  </si>
  <si>
    <t xml:space="preserve">Puntuar 1–5 cada criterio. Score = promedio. Ordena qué atacar primero (insumo del Módulo 4).</t>
  </si>
  <si>
    <t xml:space="preserve">Tipo (J/P/G)</t>
  </si>
  <si>
    <t xml:space="preserve">Ítem</t>
  </si>
  <si>
    <t xml:space="preserve">Relevancia (1-5)</t>
  </si>
  <si>
    <t xml:space="preserve">Tangibilidad (1-5)</t>
  </si>
  <si>
    <t xml:space="preserve">Insatisfacción (1-5)</t>
  </si>
  <si>
    <t xml:space="preserve">Volumen (1-5)</t>
  </si>
  <si>
    <t xml:space="preserve">Score (prom)</t>
  </si>
  <si>
    <t xml:space="preserve">Pain</t>
  </si>
  <si>
    <t xml:space="preserve">Tengo datos pero no sé accionarlos</t>
  </si>
  <si>
    <t xml:space="preserve">Apps fragmentadas que no se hablan</t>
  </si>
  <si>
    <t xml:space="preserve">Coach humano caro / inaccesible</t>
  </si>
  <si>
    <t xml:space="preserve">Miedo a lesión / sobreentrenamiento</t>
  </si>
  <si>
    <t xml:space="preserve">Job</t>
  </si>
  <si>
    <t xml:space="preserve">Decidir qué hacer cada día</t>
  </si>
  <si>
    <t xml:space="preserve">Comer acorde al objetivo</t>
  </si>
  <si>
    <t xml:space="preserve">Gain</t>
  </si>
  <si>
    <t xml:space="preserve">Que me diga qué hacer hoy</t>
  </si>
  <si>
    <t xml:space="preserve">Plan que se ajusta solo</t>
  </si>
  <si>
    <t xml:space="preserve">Coach accesible en precio</t>
  </si>
  <si>
    <t xml:space="preserve">Nota: valores semilla intuitivos — recalcular con datos de campo.</t>
  </si>
  <si>
    <t xml:space="preserve">Encuesta cuantitativa — resumen</t>
  </si>
  <si>
    <t xml:space="preserve">Complemento opcional. Clave: pregunta PMF de Sean Ellis.</t>
  </si>
  <si>
    <t xml:space="preserve">Métrica</t>
  </si>
  <si>
    <t xml:space="preserve">Valor</t>
  </si>
  <si>
    <t xml:space="preserve">Respuestas totales</t>
  </si>
  <si>
    <t xml:space="preserve">n =</t>
  </si>
  <si>
    <t xml:space="preserve">% que usa wearable</t>
  </si>
  <si>
    <t xml:space="preserve">calcular sobre respuestas cargadas</t>
  </si>
  <si>
    <t xml:space="preserve">% con 2+ apps de fitness</t>
  </si>
  <si>
    <t xml:space="preserve">fragmentación</t>
  </si>
  <si>
    <t xml:space="preserve">% que paga por app/servicio hoy</t>
  </si>
  <si>
    <t xml:space="preserve">disposición a pagar revelada</t>
  </si>
  <si>
    <t xml:space="preserve">PMF — 'Muy decepcionado' si desaparece su app</t>
  </si>
  <si>
    <t xml:space="preserve">≥40% = señal de PMF</t>
  </si>
  <si>
    <t xml:space="preserve">PMF — 'Algo decepcionado'</t>
  </si>
  <si>
    <t xml:space="preserve">PMF — 'No me importaría'</t>
  </si>
  <si>
    <t xml:space="preserve">% que pagaría ~US$10/mes por coach IA</t>
  </si>
  <si>
    <t xml:space="preserve">intención (tomar con pinzas)</t>
  </si>
  <si>
    <t xml:space="preserve">% mujeres interesadas en función ciclo</t>
  </si>
  <si>
    <t xml:space="preserve">sub-segmento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</si>
</sst>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0A0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8F5C8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C8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A0A0C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23.2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23.25" hidden="false" customHeight="true" outlineLevel="0" collapsed="false">
      <c r="A12" s="3" t="s">
        <v>9</v>
      </c>
    </row>
    <row r="13" customFormat="false" ht="23.25" hidden="false" customHeight="tru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6" min="4" style="1" width="28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11</v>
      </c>
    </row>
    <row r="2" customFormat="false" ht="15" hidden="false" customHeight="true" outlineLevel="0" collapsed="false">
      <c r="A2" s="5" t="s">
        <v>12</v>
      </c>
    </row>
    <row r="4" customFormat="false" ht="30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23.25" hidden="false" customHeight="true" outlineLevel="0" collapsed="false">
      <c r="A5" s="7" t="s">
        <v>20</v>
      </c>
      <c r="B5" s="8" t="s">
        <v>21</v>
      </c>
      <c r="C5" s="8" t="s">
        <v>22</v>
      </c>
      <c r="D5" s="8" t="s">
        <v>23</v>
      </c>
      <c r="E5" s="8"/>
      <c r="F5" s="8"/>
      <c r="G5" s="8" t="s">
        <v>24</v>
      </c>
    </row>
    <row r="6" customFormat="false" ht="23.25" hidden="false" customHeight="true" outlineLevel="0" collapsed="false">
      <c r="A6" s="7" t="s">
        <v>25</v>
      </c>
      <c r="B6" s="8" t="s">
        <v>26</v>
      </c>
      <c r="C6" s="8" t="s">
        <v>27</v>
      </c>
      <c r="D6" s="8" t="s">
        <v>28</v>
      </c>
      <c r="E6" s="8"/>
      <c r="F6" s="8"/>
      <c r="G6" s="8" t="s">
        <v>24</v>
      </c>
    </row>
    <row r="7" customFormat="false" ht="23.25" hidden="false" customHeight="true" outlineLevel="0" collapsed="false">
      <c r="A7" s="7" t="s">
        <v>29</v>
      </c>
      <c r="B7" s="8" t="s">
        <v>30</v>
      </c>
      <c r="C7" s="8" t="s">
        <v>31</v>
      </c>
      <c r="D7" s="8" t="s">
        <v>32</v>
      </c>
      <c r="E7" s="8"/>
      <c r="F7" s="8"/>
      <c r="G7" s="8" t="s">
        <v>24</v>
      </c>
    </row>
    <row r="8" customFormat="false" ht="23.25" hidden="false" customHeight="true" outlineLevel="0" collapsed="false">
      <c r="A8" s="7" t="s">
        <v>33</v>
      </c>
      <c r="B8" s="8" t="s">
        <v>34</v>
      </c>
      <c r="C8" s="8" t="s">
        <v>35</v>
      </c>
      <c r="D8" s="8" t="s">
        <v>36</v>
      </c>
      <c r="E8" s="8"/>
      <c r="F8" s="8"/>
      <c r="G8" s="8" t="s">
        <v>24</v>
      </c>
    </row>
    <row r="9" customFormat="false" ht="23.25" hidden="false" customHeight="true" outlineLevel="0" collapsed="false">
      <c r="A9" s="7" t="s">
        <v>37</v>
      </c>
      <c r="B9" s="8" t="s">
        <v>38</v>
      </c>
      <c r="C9" s="8" t="s">
        <v>39</v>
      </c>
      <c r="D9" s="8" t="s">
        <v>40</v>
      </c>
      <c r="E9" s="8"/>
      <c r="F9" s="8"/>
      <c r="G9" s="8" t="s">
        <v>24</v>
      </c>
    </row>
    <row r="10" customFormat="false" ht="23.25" hidden="false" customHeight="true" outlineLevel="0" collapsed="false">
      <c r="A10" s="7" t="s">
        <v>41</v>
      </c>
      <c r="B10" s="8" t="s">
        <v>42</v>
      </c>
      <c r="C10" s="8" t="s">
        <v>43</v>
      </c>
      <c r="D10" s="8" t="s">
        <v>44</v>
      </c>
      <c r="E10" s="8"/>
      <c r="F10" s="8"/>
      <c r="G10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45</v>
      </c>
    </row>
    <row r="2" customFormat="false" ht="15" hidden="false" customHeight="true" outlineLevel="0" collapsed="false">
      <c r="A2" s="5" t="s">
        <v>46</v>
      </c>
    </row>
    <row r="4" customFormat="false" ht="30" hidden="false" customHeight="true" outlineLevel="0" collapsed="false">
      <c r="A4" s="6" t="s">
        <v>47</v>
      </c>
      <c r="B4" s="6" t="s">
        <v>48</v>
      </c>
      <c r="C4" s="6" t="s">
        <v>49</v>
      </c>
      <c r="D4" s="6" t="s">
        <v>50</v>
      </c>
    </row>
    <row r="5" customFormat="false" ht="15" hidden="false" customHeight="true" outlineLevel="0" collapsed="false">
      <c r="A5" s="9" t="s">
        <v>51</v>
      </c>
      <c r="B5" s="8" t="s">
        <v>52</v>
      </c>
      <c r="C5" s="8" t="n">
        <f aca="false">COUNTIF('Registro Entrevistas'!E:E,"Running")</f>
        <v>6</v>
      </c>
      <c r="D5" s="8" t="s">
        <v>53</v>
      </c>
    </row>
    <row r="6" customFormat="false" ht="15" hidden="false" customHeight="true" outlineLevel="0" collapsed="false">
      <c r="A6" s="9" t="s">
        <v>54</v>
      </c>
      <c r="B6" s="8" t="s">
        <v>55</v>
      </c>
      <c r="C6" s="8" t="n">
        <f aca="false">COUNTIF('Registro Entrevistas'!E:E,"Ciclismo/Triatlón")</f>
        <v>4</v>
      </c>
      <c r="D6" s="8" t="s">
        <v>56</v>
      </c>
    </row>
    <row r="7" customFormat="false" ht="15" hidden="false" customHeight="true" outlineLevel="0" collapsed="false">
      <c r="A7" s="9" t="s">
        <v>57</v>
      </c>
      <c r="B7" s="8" t="s">
        <v>58</v>
      </c>
      <c r="C7" s="8" t="n">
        <f aca="false">COUNTIF('Registro Entrevistas'!E:E,"Gym/Fuerza")</f>
        <v>5</v>
      </c>
      <c r="D7" s="8" t="s">
        <v>59</v>
      </c>
    </row>
    <row r="8" customFormat="false" ht="15" hidden="false" customHeight="true" outlineLevel="0" collapsed="false">
      <c r="A8" s="9" t="s">
        <v>60</v>
      </c>
      <c r="B8" s="8" t="s">
        <v>55</v>
      </c>
      <c r="C8" s="8" t="n">
        <f aca="false">COUNTIF('Registro Entrevistas'!E:E,"Raqueta/Otros")</f>
        <v>3</v>
      </c>
      <c r="D8" s="8" t="s">
        <v>61</v>
      </c>
    </row>
    <row r="9" customFormat="false" ht="15" hidden="false" customHeight="true" outlineLevel="0" collapsed="false">
      <c r="A9" s="9" t="s">
        <v>62</v>
      </c>
      <c r="B9" s="8" t="s">
        <v>58</v>
      </c>
      <c r="C9" s="8" t="n">
        <f aca="false">COUNTIF('Registro Entrevistas'!G:G,"No")</f>
        <v>0</v>
      </c>
      <c r="D9" s="8" t="s">
        <v>63</v>
      </c>
    </row>
    <row r="10" customFormat="false" ht="15" hidden="false" customHeight="true" outlineLevel="0" collapsed="false">
      <c r="A10" s="9" t="s">
        <v>64</v>
      </c>
      <c r="B10" s="8" t="s">
        <v>65</v>
      </c>
      <c r="C10" s="8" t="n">
        <f aca="false">COUNTIF('Registro Entrevistas'!F:F,"F")</f>
        <v>0</v>
      </c>
      <c r="D10" s="8" t="s">
        <v>66</v>
      </c>
    </row>
    <row r="11" customFormat="false" ht="23.25" hidden="false" customHeight="true" outlineLevel="0" collapsed="false">
      <c r="A11" s="9" t="s">
        <v>67</v>
      </c>
      <c r="B11" s="8" t="s">
        <v>68</v>
      </c>
      <c r="C11" s="8" t="n">
        <f aca="false">COUNTIF('Registro Entrevistas'!I:I,"Sí")</f>
        <v>0</v>
      </c>
      <c r="D11" s="8" t="s">
        <v>69</v>
      </c>
    </row>
    <row r="13" customFormat="false" ht="15" hidden="false" customHeight="true" outlineLevel="0" collapsed="false">
      <c r="A13" s="10" t="s">
        <v>70</v>
      </c>
      <c r="C13" s="11" t="n">
        <f aca="false">COUNTIF('Registro Entrevistas'!K:K,"B2C")</f>
        <v>18</v>
      </c>
    </row>
    <row r="14" customFormat="false" ht="15" hidden="false" customHeight="true" outlineLevel="0" collapsed="false">
      <c r="A14" s="12" t="s">
        <v>71</v>
      </c>
      <c r="C14" s="12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7"/>
    <col collapsed="false" customWidth="true" hidden="false" outlineLevel="0" max="5" min="5" style="1" width="17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24"/>
    <col collapsed="false" customWidth="true" hidden="false" outlineLevel="0" max="11" min="11" style="1" width="12"/>
    <col collapsed="false" customWidth="true" hidden="false" outlineLevel="0" max="12" min="12" style="1" width="40"/>
  </cols>
  <sheetData>
    <row r="1" customFormat="false" ht="17.25" hidden="false" customHeight="true" outlineLevel="0" collapsed="false">
      <c r="A1" s="2" t="s">
        <v>72</v>
      </c>
    </row>
    <row r="2" customFormat="false" ht="15" hidden="false" customHeight="true" outlineLevel="0" collapsed="false">
      <c r="A2" s="5" t="s">
        <v>73</v>
      </c>
    </row>
    <row r="4" customFormat="false" ht="30" hidden="false" customHeight="true" outlineLevel="0" collapsed="false">
      <c r="A4" s="6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81</v>
      </c>
      <c r="I4" s="6" t="s">
        <v>82</v>
      </c>
      <c r="J4" s="6" t="s">
        <v>83</v>
      </c>
      <c r="K4" s="6" t="s">
        <v>84</v>
      </c>
      <c r="L4" s="6" t="s">
        <v>85</v>
      </c>
    </row>
    <row r="5" customFormat="false" ht="15" hidden="false" customHeight="true" outlineLevel="0" collapsed="false">
      <c r="A5" s="9" t="s">
        <v>86</v>
      </c>
      <c r="B5" s="8"/>
      <c r="C5" s="8"/>
      <c r="D5" s="8"/>
      <c r="E5" s="8" t="s">
        <v>51</v>
      </c>
      <c r="F5" s="8"/>
      <c r="G5" s="8"/>
      <c r="H5" s="8"/>
      <c r="I5" s="8"/>
      <c r="J5" s="8"/>
      <c r="K5" s="8" t="s">
        <v>87</v>
      </c>
      <c r="L5" s="8"/>
    </row>
    <row r="6" customFormat="false" ht="15" hidden="false" customHeight="true" outlineLevel="0" collapsed="false">
      <c r="A6" s="9" t="s">
        <v>88</v>
      </c>
      <c r="B6" s="8"/>
      <c r="C6" s="8"/>
      <c r="D6" s="8"/>
      <c r="E6" s="8" t="s">
        <v>51</v>
      </c>
      <c r="F6" s="8"/>
      <c r="G6" s="8"/>
      <c r="H6" s="8"/>
      <c r="I6" s="8"/>
      <c r="J6" s="8"/>
      <c r="K6" s="8" t="s">
        <v>87</v>
      </c>
      <c r="L6" s="8"/>
    </row>
    <row r="7" customFormat="false" ht="15" hidden="false" customHeight="true" outlineLevel="0" collapsed="false">
      <c r="A7" s="9" t="s">
        <v>89</v>
      </c>
      <c r="B7" s="8"/>
      <c r="C7" s="8"/>
      <c r="D7" s="8"/>
      <c r="E7" s="8" t="s">
        <v>51</v>
      </c>
      <c r="F7" s="8"/>
      <c r="G7" s="8"/>
      <c r="H7" s="8"/>
      <c r="I7" s="8"/>
      <c r="J7" s="8"/>
      <c r="K7" s="8" t="s">
        <v>87</v>
      </c>
      <c r="L7" s="8"/>
    </row>
    <row r="8" customFormat="false" ht="15" hidden="false" customHeight="true" outlineLevel="0" collapsed="false">
      <c r="A8" s="9" t="s">
        <v>90</v>
      </c>
      <c r="B8" s="8"/>
      <c r="C8" s="8"/>
      <c r="D8" s="8"/>
      <c r="E8" s="8" t="s">
        <v>51</v>
      </c>
      <c r="F8" s="8"/>
      <c r="G8" s="8"/>
      <c r="H8" s="8"/>
      <c r="I8" s="8"/>
      <c r="J8" s="8"/>
      <c r="K8" s="8" t="s">
        <v>87</v>
      </c>
      <c r="L8" s="8"/>
    </row>
    <row r="9" customFormat="false" ht="15" hidden="false" customHeight="true" outlineLevel="0" collapsed="false">
      <c r="A9" s="9" t="s">
        <v>91</v>
      </c>
      <c r="B9" s="8"/>
      <c r="C9" s="8"/>
      <c r="D9" s="8"/>
      <c r="E9" s="8" t="s">
        <v>51</v>
      </c>
      <c r="F9" s="8"/>
      <c r="G9" s="8"/>
      <c r="H9" s="8"/>
      <c r="I9" s="8"/>
      <c r="J9" s="8"/>
      <c r="K9" s="8" t="s">
        <v>87</v>
      </c>
      <c r="L9" s="8"/>
    </row>
    <row r="10" customFormat="false" ht="15" hidden="false" customHeight="true" outlineLevel="0" collapsed="false">
      <c r="A10" s="9" t="s">
        <v>92</v>
      </c>
      <c r="B10" s="8"/>
      <c r="C10" s="8"/>
      <c r="D10" s="8"/>
      <c r="E10" s="8" t="s">
        <v>93</v>
      </c>
      <c r="F10" s="8"/>
      <c r="G10" s="8"/>
      <c r="H10" s="8"/>
      <c r="I10" s="8"/>
      <c r="J10" s="8"/>
      <c r="K10" s="8" t="s">
        <v>87</v>
      </c>
      <c r="L10" s="8"/>
    </row>
    <row r="11" customFormat="false" ht="15" hidden="false" customHeight="true" outlineLevel="0" collapsed="false">
      <c r="A11" s="9" t="s">
        <v>94</v>
      </c>
      <c r="B11" s="8"/>
      <c r="C11" s="8"/>
      <c r="D11" s="8"/>
      <c r="E11" s="8" t="s">
        <v>93</v>
      </c>
      <c r="F11" s="8"/>
      <c r="G11" s="8"/>
      <c r="H11" s="8"/>
      <c r="I11" s="8"/>
      <c r="J11" s="8"/>
      <c r="K11" s="8" t="s">
        <v>87</v>
      </c>
      <c r="L11" s="8"/>
    </row>
    <row r="12" customFormat="false" ht="15" hidden="false" customHeight="true" outlineLevel="0" collapsed="false">
      <c r="A12" s="9" t="s">
        <v>95</v>
      </c>
      <c r="B12" s="8"/>
      <c r="C12" s="8"/>
      <c r="D12" s="8"/>
      <c r="E12" s="8" t="s">
        <v>93</v>
      </c>
      <c r="F12" s="8"/>
      <c r="G12" s="8"/>
      <c r="H12" s="8"/>
      <c r="I12" s="8"/>
      <c r="J12" s="8"/>
      <c r="K12" s="8" t="s">
        <v>87</v>
      </c>
      <c r="L12" s="8"/>
    </row>
    <row r="13" customFormat="false" ht="15" hidden="false" customHeight="true" outlineLevel="0" collapsed="false">
      <c r="A13" s="9" t="s">
        <v>96</v>
      </c>
      <c r="B13" s="8"/>
      <c r="C13" s="8"/>
      <c r="D13" s="8"/>
      <c r="E13" s="8" t="s">
        <v>97</v>
      </c>
      <c r="F13" s="8"/>
      <c r="G13" s="8"/>
      <c r="H13" s="8"/>
      <c r="I13" s="8"/>
      <c r="J13" s="8"/>
      <c r="K13" s="8" t="s">
        <v>87</v>
      </c>
      <c r="L13" s="8"/>
    </row>
    <row r="14" customFormat="false" ht="15" hidden="false" customHeight="true" outlineLevel="0" collapsed="false">
      <c r="A14" s="9" t="s">
        <v>98</v>
      </c>
      <c r="B14" s="8"/>
      <c r="C14" s="8"/>
      <c r="D14" s="8"/>
      <c r="E14" s="8" t="s">
        <v>97</v>
      </c>
      <c r="F14" s="8"/>
      <c r="G14" s="8"/>
      <c r="H14" s="8"/>
      <c r="I14" s="8"/>
      <c r="J14" s="8"/>
      <c r="K14" s="8" t="s">
        <v>87</v>
      </c>
      <c r="L14" s="8"/>
    </row>
    <row r="15" customFormat="false" ht="15" hidden="false" customHeight="true" outlineLevel="0" collapsed="false">
      <c r="A15" s="9" t="s">
        <v>99</v>
      </c>
      <c r="B15" s="8"/>
      <c r="C15" s="8"/>
      <c r="D15" s="8"/>
      <c r="E15" s="8" t="s">
        <v>97</v>
      </c>
      <c r="F15" s="8"/>
      <c r="G15" s="8"/>
      <c r="H15" s="8"/>
      <c r="I15" s="8"/>
      <c r="J15" s="8"/>
      <c r="K15" s="8" t="s">
        <v>87</v>
      </c>
      <c r="L15" s="8"/>
    </row>
    <row r="16" customFormat="false" ht="15" hidden="false" customHeight="true" outlineLevel="0" collapsed="false">
      <c r="A16" s="9" t="s">
        <v>100</v>
      </c>
      <c r="B16" s="8"/>
      <c r="C16" s="8"/>
      <c r="D16" s="8"/>
      <c r="E16" s="8" t="s">
        <v>97</v>
      </c>
      <c r="F16" s="8"/>
      <c r="G16" s="8"/>
      <c r="H16" s="8"/>
      <c r="I16" s="8"/>
      <c r="J16" s="8"/>
      <c r="K16" s="8" t="s">
        <v>87</v>
      </c>
      <c r="L16" s="8"/>
    </row>
    <row r="17" customFormat="false" ht="15" hidden="false" customHeight="true" outlineLevel="0" collapsed="false">
      <c r="A17" s="9" t="s">
        <v>101</v>
      </c>
      <c r="B17" s="8"/>
      <c r="C17" s="8"/>
      <c r="D17" s="8"/>
      <c r="E17" s="8" t="s">
        <v>102</v>
      </c>
      <c r="F17" s="8"/>
      <c r="G17" s="8"/>
      <c r="H17" s="8"/>
      <c r="I17" s="8"/>
      <c r="J17" s="8"/>
      <c r="K17" s="8" t="s">
        <v>87</v>
      </c>
      <c r="L17" s="8"/>
    </row>
    <row r="18" customFormat="false" ht="15" hidden="false" customHeight="true" outlineLevel="0" collapsed="false">
      <c r="A18" s="9" t="s">
        <v>103</v>
      </c>
      <c r="B18" s="8"/>
      <c r="C18" s="8"/>
      <c r="D18" s="8"/>
      <c r="E18" s="8" t="s">
        <v>102</v>
      </c>
      <c r="F18" s="8"/>
      <c r="G18" s="8"/>
      <c r="H18" s="8"/>
      <c r="I18" s="8"/>
      <c r="J18" s="8"/>
      <c r="K18" s="8" t="s">
        <v>87</v>
      </c>
      <c r="L18" s="8"/>
    </row>
    <row r="19" customFormat="false" ht="15" hidden="false" customHeight="true" outlineLevel="0" collapsed="false">
      <c r="A19" s="9" t="s">
        <v>104</v>
      </c>
      <c r="B19" s="8"/>
      <c r="C19" s="8"/>
      <c r="D19" s="8"/>
      <c r="E19" s="8" t="s">
        <v>102</v>
      </c>
      <c r="F19" s="8"/>
      <c r="G19" s="8"/>
      <c r="H19" s="8"/>
      <c r="I19" s="8"/>
      <c r="J19" s="8"/>
      <c r="K19" s="8" t="s">
        <v>87</v>
      </c>
      <c r="L19" s="8"/>
    </row>
    <row r="20" customFormat="false" ht="15" hidden="false" customHeight="true" outlineLevel="0" collapsed="false">
      <c r="A20" s="9" t="s">
        <v>105</v>
      </c>
      <c r="B20" s="8"/>
      <c r="C20" s="8"/>
      <c r="D20" s="8"/>
      <c r="E20" s="8" t="s">
        <v>51</v>
      </c>
      <c r="F20" s="8"/>
      <c r="G20" s="8"/>
      <c r="H20" s="8"/>
      <c r="I20" s="8"/>
      <c r="J20" s="8"/>
      <c r="K20" s="8" t="s">
        <v>87</v>
      </c>
      <c r="L20" s="8"/>
    </row>
    <row r="21" customFormat="false" ht="15" hidden="false" customHeight="true" outlineLevel="0" collapsed="false">
      <c r="A21" s="9" t="s">
        <v>106</v>
      </c>
      <c r="B21" s="8"/>
      <c r="C21" s="8"/>
      <c r="D21" s="8"/>
      <c r="E21" s="8" t="s">
        <v>97</v>
      </c>
      <c r="F21" s="8"/>
      <c r="G21" s="8"/>
      <c r="H21" s="8"/>
      <c r="I21" s="8"/>
      <c r="J21" s="8"/>
      <c r="K21" s="8" t="s">
        <v>87</v>
      </c>
      <c r="L21" s="8"/>
    </row>
    <row r="22" customFormat="false" ht="15" hidden="false" customHeight="true" outlineLevel="0" collapsed="false">
      <c r="A22" s="9" t="s">
        <v>107</v>
      </c>
      <c r="B22" s="8"/>
      <c r="C22" s="8"/>
      <c r="D22" s="8"/>
      <c r="E22" s="8" t="s">
        <v>93</v>
      </c>
      <c r="F22" s="8"/>
      <c r="G22" s="8"/>
      <c r="H22" s="8"/>
      <c r="I22" s="8"/>
      <c r="J22" s="8"/>
      <c r="K22" s="8" t="s">
        <v>87</v>
      </c>
      <c r="L22" s="8"/>
    </row>
    <row r="23" customFormat="false" ht="15" hidden="false" customHeight="true" outlineLevel="0" collapsed="false">
      <c r="A23" s="9" t="s">
        <v>108</v>
      </c>
      <c r="B23" s="8"/>
      <c r="C23" s="8"/>
      <c r="D23" s="8"/>
      <c r="E23" s="8"/>
      <c r="F23" s="8"/>
      <c r="G23" s="8"/>
      <c r="H23" s="8" t="s">
        <v>109</v>
      </c>
      <c r="I23" s="8"/>
      <c r="J23" s="8"/>
      <c r="K23" s="8" t="s">
        <v>110</v>
      </c>
      <c r="L23" s="8"/>
    </row>
    <row r="24" customFormat="false" ht="15" hidden="false" customHeight="true" outlineLevel="0" collapsed="false">
      <c r="A24" s="9" t="s">
        <v>111</v>
      </c>
      <c r="B24" s="8"/>
      <c r="C24" s="8"/>
      <c r="D24" s="8"/>
      <c r="E24" s="8"/>
      <c r="F24" s="8"/>
      <c r="G24" s="8"/>
      <c r="H24" s="8" t="s">
        <v>109</v>
      </c>
      <c r="I24" s="8"/>
      <c r="J24" s="8"/>
      <c r="K24" s="8" t="s">
        <v>110</v>
      </c>
      <c r="L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60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112</v>
      </c>
    </row>
    <row r="2" customFormat="false" ht="15" hidden="false" customHeight="true" outlineLevel="0" collapsed="false">
      <c r="A2" s="5" t="s">
        <v>113</v>
      </c>
    </row>
    <row r="4" customFormat="false" ht="30" hidden="false" customHeight="true" outlineLevel="0" collapsed="false">
      <c r="A4" s="6" t="s">
        <v>114</v>
      </c>
      <c r="B4" s="6" t="s">
        <v>115</v>
      </c>
      <c r="C4" s="6" t="s">
        <v>116</v>
      </c>
      <c r="D4" s="6" t="s">
        <v>117</v>
      </c>
      <c r="E4" s="6" t="s">
        <v>118</v>
      </c>
    </row>
    <row r="5" customFormat="false" ht="15" hidden="false" customHeight="true" outlineLevel="0" collapsed="false">
      <c r="A5" s="9" t="s">
        <v>119</v>
      </c>
      <c r="B5" s="8"/>
      <c r="C5" s="8"/>
      <c r="D5" s="8"/>
      <c r="E5" s="8"/>
    </row>
    <row r="6" customFormat="false" ht="15" hidden="false" customHeight="true" outlineLevel="0" collapsed="false">
      <c r="A6" s="9" t="s">
        <v>120</v>
      </c>
      <c r="B6" s="8"/>
      <c r="C6" s="8"/>
      <c r="D6" s="8"/>
      <c r="E6" s="8"/>
    </row>
    <row r="7" customFormat="false" ht="15" hidden="false" customHeight="true" outlineLevel="0" collapsed="false">
      <c r="A7" s="9" t="s">
        <v>121</v>
      </c>
      <c r="B7" s="8"/>
      <c r="C7" s="8"/>
      <c r="D7" s="8"/>
      <c r="E7" s="8"/>
    </row>
    <row r="8" customFormat="false" ht="15" hidden="false" customHeight="true" outlineLevel="0" collapsed="false">
      <c r="A8" s="9" t="s">
        <v>122</v>
      </c>
      <c r="B8" s="8"/>
      <c r="C8" s="8"/>
      <c r="D8" s="8"/>
      <c r="E8" s="8"/>
    </row>
    <row r="9" customFormat="false" ht="15" hidden="false" customHeight="true" outlineLevel="0" collapsed="false">
      <c r="A9" s="9" t="s">
        <v>123</v>
      </c>
      <c r="B9" s="8"/>
      <c r="C9" s="8"/>
      <c r="D9" s="8"/>
      <c r="E9" s="8"/>
    </row>
    <row r="10" customFormat="false" ht="15" hidden="false" customHeight="true" outlineLevel="0" collapsed="false">
      <c r="A10" s="9" t="s">
        <v>124</v>
      </c>
      <c r="B10" s="8"/>
      <c r="C10" s="8"/>
      <c r="D10" s="8"/>
      <c r="E10" s="8"/>
    </row>
    <row r="11" customFormat="false" ht="15" hidden="false" customHeight="true" outlineLevel="0" collapsed="false">
      <c r="A11" s="9" t="s">
        <v>125</v>
      </c>
      <c r="B11" s="8"/>
      <c r="C11" s="8"/>
      <c r="D11" s="8"/>
      <c r="E11" s="8"/>
    </row>
    <row r="12" customFormat="false" ht="15" hidden="false" customHeight="true" outlineLevel="0" collapsed="false">
      <c r="A12" s="9" t="s">
        <v>126</v>
      </c>
      <c r="B12" s="8"/>
      <c r="C12" s="8"/>
      <c r="D12" s="8"/>
      <c r="E12" s="8"/>
    </row>
    <row r="13" customFormat="false" ht="15" hidden="false" customHeight="true" outlineLevel="0" collapsed="false">
      <c r="A13" s="9" t="s">
        <v>127</v>
      </c>
      <c r="B13" s="8"/>
      <c r="C13" s="8"/>
      <c r="D13" s="8"/>
      <c r="E13" s="8"/>
    </row>
    <row r="14" customFormat="false" ht="15" hidden="false" customHeight="true" outlineLevel="0" collapsed="false">
      <c r="A14" s="9" t="s">
        <v>128</v>
      </c>
      <c r="B14" s="8"/>
      <c r="C14" s="8"/>
      <c r="D14" s="8"/>
      <c r="E14" s="8"/>
    </row>
    <row r="15" customFormat="false" ht="15" hidden="false" customHeight="true" outlineLevel="0" collapsed="false">
      <c r="A15" s="9" t="s">
        <v>129</v>
      </c>
      <c r="B15" s="8"/>
      <c r="C15" s="8"/>
      <c r="D15" s="8"/>
      <c r="E15" s="8"/>
    </row>
    <row r="16" customFormat="false" ht="15" hidden="false" customHeight="true" outlineLevel="0" collapsed="false">
      <c r="A16" s="9" t="s">
        <v>130</v>
      </c>
      <c r="B16" s="8"/>
      <c r="C16" s="8"/>
      <c r="D16" s="8"/>
      <c r="E16" s="8"/>
    </row>
    <row r="17" customFormat="false" ht="15" hidden="false" customHeight="true" outlineLevel="0" collapsed="false">
      <c r="A17" s="9" t="s">
        <v>131</v>
      </c>
      <c r="B17" s="8"/>
      <c r="C17" s="8"/>
      <c r="D17" s="8"/>
      <c r="E17" s="8"/>
    </row>
    <row r="18" customFormat="false" ht="15" hidden="false" customHeight="true" outlineLevel="0" collapsed="false">
      <c r="A18" s="9" t="s">
        <v>132</v>
      </c>
      <c r="B18" s="8"/>
      <c r="C18" s="8"/>
      <c r="D18" s="8"/>
      <c r="E18" s="8"/>
    </row>
    <row r="19" customFormat="false" ht="15" hidden="false" customHeight="true" outlineLevel="0" collapsed="false">
      <c r="A19" s="9" t="s">
        <v>133</v>
      </c>
      <c r="B19" s="8"/>
      <c r="C19" s="8"/>
      <c r="D19" s="8"/>
      <c r="E19" s="8"/>
    </row>
    <row r="20" customFormat="false" ht="15" hidden="false" customHeight="true" outlineLevel="0" collapsed="false">
      <c r="A20" s="9" t="s">
        <v>134</v>
      </c>
      <c r="B20" s="8"/>
      <c r="C20" s="8"/>
      <c r="D20" s="8"/>
      <c r="E20" s="8"/>
    </row>
    <row r="21" customFormat="false" ht="15" hidden="false" customHeight="true" outlineLevel="0" collapsed="false">
      <c r="A21" s="9" t="s">
        <v>135</v>
      </c>
      <c r="B21" s="8"/>
      <c r="C21" s="8"/>
      <c r="D21" s="8"/>
      <c r="E21" s="8"/>
    </row>
    <row r="22" customFormat="false" ht="15" hidden="false" customHeight="true" outlineLevel="0" collapsed="false">
      <c r="A22" s="9" t="s">
        <v>136</v>
      </c>
      <c r="B22" s="8"/>
      <c r="C22" s="8"/>
      <c r="D22" s="8"/>
      <c r="E22" s="8"/>
    </row>
    <row r="23" customFormat="false" ht="15" hidden="false" customHeight="true" outlineLevel="0" collapsed="false">
      <c r="A23" s="9" t="s">
        <v>137</v>
      </c>
      <c r="B23" s="8"/>
      <c r="C23" s="8"/>
      <c r="D23" s="8"/>
      <c r="E23" s="8"/>
    </row>
    <row r="24" customFormat="false" ht="15" hidden="false" customHeight="true" outlineLevel="0" collapsed="false">
      <c r="A24" s="9" t="s">
        <v>138</v>
      </c>
      <c r="B24" s="8"/>
      <c r="C24" s="8"/>
      <c r="D24" s="8"/>
      <c r="E24" s="8"/>
    </row>
    <row r="25" customFormat="false" ht="15" hidden="false" customHeight="true" outlineLevel="0" collapsed="false">
      <c r="A25" s="9" t="s">
        <v>139</v>
      </c>
      <c r="B25" s="8"/>
      <c r="C25" s="8"/>
      <c r="D25" s="8"/>
      <c r="E25" s="8"/>
    </row>
    <row r="26" customFormat="false" ht="15" hidden="false" customHeight="true" outlineLevel="0" collapsed="false">
      <c r="A26" s="9" t="s">
        <v>140</v>
      </c>
      <c r="B26" s="8"/>
      <c r="C26" s="8"/>
      <c r="D26" s="8"/>
      <c r="E26" s="8"/>
    </row>
    <row r="27" customFormat="false" ht="15" hidden="false" customHeight="true" outlineLevel="0" collapsed="false">
      <c r="A27" s="9" t="s">
        <v>141</v>
      </c>
      <c r="B27" s="8"/>
      <c r="C27" s="8"/>
      <c r="D27" s="8"/>
      <c r="E27" s="8"/>
    </row>
    <row r="28" customFormat="false" ht="15" hidden="false" customHeight="true" outlineLevel="0" collapsed="false">
      <c r="A28" s="9" t="s">
        <v>142</v>
      </c>
      <c r="B28" s="8"/>
      <c r="C28" s="8"/>
      <c r="D28" s="8"/>
      <c r="E28" s="8"/>
    </row>
    <row r="29" customFormat="false" ht="15" hidden="false" customHeight="true" outlineLevel="0" collapsed="false">
      <c r="A29" s="9" t="s">
        <v>143</v>
      </c>
      <c r="B29" s="8"/>
      <c r="C29" s="8"/>
      <c r="D29" s="8"/>
      <c r="E29" s="8"/>
    </row>
    <row r="30" customFormat="false" ht="15" hidden="false" customHeight="true" outlineLevel="0" collapsed="false">
      <c r="A30" s="9" t="s">
        <v>144</v>
      </c>
      <c r="B30" s="8"/>
      <c r="C30" s="8"/>
      <c r="D30" s="8"/>
      <c r="E30" s="8"/>
    </row>
    <row r="31" customFormat="false" ht="15" hidden="false" customHeight="true" outlineLevel="0" collapsed="false">
      <c r="A31" s="9" t="s">
        <v>145</v>
      </c>
      <c r="B31" s="8"/>
      <c r="C31" s="8"/>
      <c r="D31" s="8"/>
      <c r="E31" s="8"/>
    </row>
    <row r="32" customFormat="false" ht="15" hidden="false" customHeight="true" outlineLevel="0" collapsed="false">
      <c r="A32" s="9" t="s">
        <v>146</v>
      </c>
      <c r="B32" s="8"/>
      <c r="C32" s="8"/>
      <c r="D32" s="8"/>
      <c r="E32" s="8"/>
    </row>
    <row r="33" customFormat="false" ht="15" hidden="false" customHeight="true" outlineLevel="0" collapsed="false">
      <c r="A33" s="9" t="s">
        <v>147</v>
      </c>
      <c r="B33" s="8"/>
      <c r="C33" s="8"/>
      <c r="D33" s="8"/>
      <c r="E33" s="8"/>
    </row>
    <row r="34" customFormat="false" ht="15" hidden="false" customHeight="true" outlineLevel="0" collapsed="false">
      <c r="A34" s="9" t="s">
        <v>148</v>
      </c>
      <c r="B34" s="8"/>
      <c r="C34" s="8"/>
      <c r="D34" s="8"/>
      <c r="E34" s="8"/>
    </row>
    <row r="35" customFormat="false" ht="15" hidden="false" customHeight="true" outlineLevel="0" collapsed="false">
      <c r="A35" s="9" t="s">
        <v>149</v>
      </c>
      <c r="B35" s="8"/>
      <c r="C35" s="8"/>
      <c r="D35" s="8"/>
      <c r="E35" s="8"/>
    </row>
    <row r="36" customFormat="false" ht="15" hidden="false" customHeight="true" outlineLevel="0" collapsed="false">
      <c r="A36" s="9" t="s">
        <v>150</v>
      </c>
      <c r="B36" s="8"/>
      <c r="C36" s="8"/>
      <c r="D36" s="8"/>
      <c r="E36" s="8"/>
    </row>
    <row r="37" customFormat="false" ht="15" hidden="false" customHeight="true" outlineLevel="0" collapsed="false">
      <c r="A37" s="9" t="s">
        <v>151</v>
      </c>
      <c r="B37" s="8"/>
      <c r="C37" s="8"/>
      <c r="D37" s="8"/>
      <c r="E37" s="8"/>
    </row>
    <row r="38" customFormat="false" ht="15" hidden="false" customHeight="true" outlineLevel="0" collapsed="false">
      <c r="A38" s="9" t="s">
        <v>152</v>
      </c>
      <c r="B38" s="8"/>
      <c r="C38" s="8"/>
      <c r="D38" s="8"/>
      <c r="E38" s="8"/>
    </row>
    <row r="39" customFormat="false" ht="15" hidden="false" customHeight="true" outlineLevel="0" collapsed="false">
      <c r="A39" s="9" t="s">
        <v>153</v>
      </c>
      <c r="B39" s="8"/>
      <c r="C39" s="8"/>
      <c r="D39" s="8"/>
      <c r="E39" s="8"/>
    </row>
    <row r="40" customFormat="false" ht="15" hidden="false" customHeight="true" outlineLevel="0" collapsed="false">
      <c r="A40" s="9" t="s">
        <v>154</v>
      </c>
      <c r="B40" s="8"/>
      <c r="C40" s="8"/>
      <c r="D40" s="8"/>
      <c r="E40" s="8"/>
    </row>
    <row r="41" customFormat="false" ht="15" hidden="false" customHeight="true" outlineLevel="0" collapsed="false">
      <c r="A41" s="9" t="s">
        <v>155</v>
      </c>
      <c r="B41" s="8"/>
      <c r="C41" s="8"/>
      <c r="D41" s="8"/>
      <c r="E41" s="8"/>
    </row>
    <row r="42" customFormat="false" ht="15" hidden="false" customHeight="true" outlineLevel="0" collapsed="false">
      <c r="A42" s="9" t="s">
        <v>156</v>
      </c>
      <c r="B42" s="8"/>
      <c r="C42" s="8"/>
      <c r="D42" s="8"/>
      <c r="E42" s="8"/>
    </row>
    <row r="43" customFormat="false" ht="15" hidden="false" customHeight="true" outlineLevel="0" collapsed="false">
      <c r="A43" s="9" t="s">
        <v>157</v>
      </c>
      <c r="B43" s="8"/>
      <c r="C43" s="8"/>
      <c r="D43" s="8"/>
      <c r="E43" s="8"/>
    </row>
    <row r="44" customFormat="false" ht="15" hidden="false" customHeight="true" outlineLevel="0" collapsed="false">
      <c r="A44" s="9" t="s">
        <v>158</v>
      </c>
      <c r="B44" s="8"/>
      <c r="C44" s="8"/>
      <c r="D44" s="8"/>
      <c r="E4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159</v>
      </c>
    </row>
    <row r="2" customFormat="false" ht="15" hidden="false" customHeight="true" outlineLevel="0" collapsed="false">
      <c r="A2" s="5" t="s">
        <v>160</v>
      </c>
    </row>
    <row r="4" customFormat="false" ht="30" hidden="false" customHeight="true" outlineLevel="0" collapsed="false">
      <c r="A4" s="6" t="s">
        <v>13</v>
      </c>
      <c r="B4" s="6" t="s">
        <v>161</v>
      </c>
      <c r="C4" s="6" t="s">
        <v>162</v>
      </c>
      <c r="D4" s="6" t="s">
        <v>163</v>
      </c>
      <c r="E4" s="6" t="s">
        <v>164</v>
      </c>
    </row>
    <row r="5" customFormat="false" ht="15" hidden="false" customHeight="true" outlineLevel="0" collapsed="false">
      <c r="A5" s="9" t="n">
        <v>1</v>
      </c>
      <c r="B5" s="8"/>
      <c r="C5" s="8"/>
      <c r="D5" s="8"/>
      <c r="E5" s="8"/>
    </row>
    <row r="6" customFormat="false" ht="15" hidden="false" customHeight="true" outlineLevel="0" collapsed="false">
      <c r="A6" s="9" t="n">
        <v>2</v>
      </c>
      <c r="B6" s="8"/>
      <c r="C6" s="8"/>
      <c r="D6" s="8"/>
      <c r="E6" s="8"/>
    </row>
    <row r="7" customFormat="false" ht="15" hidden="false" customHeight="true" outlineLevel="0" collapsed="false">
      <c r="A7" s="9" t="n">
        <v>3</v>
      </c>
      <c r="B7" s="8"/>
      <c r="C7" s="8"/>
      <c r="D7" s="8"/>
      <c r="E7" s="8"/>
    </row>
    <row r="8" customFormat="false" ht="15" hidden="false" customHeight="true" outlineLevel="0" collapsed="false">
      <c r="A8" s="9" t="n">
        <v>4</v>
      </c>
      <c r="B8" s="8"/>
      <c r="C8" s="8"/>
      <c r="D8" s="8"/>
      <c r="E8" s="8"/>
    </row>
    <row r="9" customFormat="false" ht="15" hidden="false" customHeight="true" outlineLevel="0" collapsed="false">
      <c r="A9" s="9" t="n">
        <v>5</v>
      </c>
      <c r="B9" s="8"/>
      <c r="C9" s="8"/>
      <c r="D9" s="8"/>
      <c r="E9" s="8"/>
    </row>
    <row r="10" customFormat="false" ht="15" hidden="false" customHeight="true" outlineLevel="0" collapsed="false">
      <c r="A10" s="9" t="n">
        <v>6</v>
      </c>
      <c r="B10" s="8"/>
      <c r="C10" s="8"/>
      <c r="D10" s="8"/>
      <c r="E10" s="8"/>
    </row>
    <row r="11" customFormat="false" ht="15" hidden="false" customHeight="true" outlineLevel="0" collapsed="false">
      <c r="A11" s="9" t="n">
        <v>7</v>
      </c>
      <c r="B11" s="8"/>
      <c r="C11" s="8"/>
      <c r="D11" s="8"/>
      <c r="E11" s="8"/>
    </row>
    <row r="12" customFormat="false" ht="15" hidden="false" customHeight="true" outlineLevel="0" collapsed="false">
      <c r="A12" s="9" t="n">
        <v>8</v>
      </c>
      <c r="B12" s="8"/>
      <c r="C12" s="8"/>
      <c r="D12" s="8"/>
      <c r="E12" s="8"/>
    </row>
    <row r="13" customFormat="false" ht="15" hidden="false" customHeight="true" outlineLevel="0" collapsed="false">
      <c r="A13" s="9" t="n">
        <v>9</v>
      </c>
      <c r="B13" s="8"/>
      <c r="C13" s="8"/>
      <c r="D13" s="8"/>
      <c r="E13" s="8"/>
    </row>
    <row r="14" customFormat="false" ht="15" hidden="false" customHeight="true" outlineLevel="0" collapsed="false">
      <c r="A14" s="9" t="n">
        <v>10</v>
      </c>
      <c r="B14" s="8"/>
      <c r="C14" s="8"/>
      <c r="D14" s="8"/>
      <c r="E14" s="8"/>
    </row>
    <row r="15" customFormat="false" ht="15" hidden="false" customHeight="true" outlineLevel="0" collapsed="false">
      <c r="A15" s="9" t="n">
        <v>11</v>
      </c>
      <c r="B15" s="8"/>
      <c r="C15" s="8"/>
      <c r="D15" s="8"/>
      <c r="E15" s="8"/>
    </row>
    <row r="16" customFormat="false" ht="15" hidden="false" customHeight="true" outlineLevel="0" collapsed="false">
      <c r="A16" s="9" t="n">
        <v>12</v>
      </c>
      <c r="B16" s="8"/>
      <c r="C16" s="8"/>
      <c r="D16" s="8"/>
      <c r="E1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4" min="3" style="1" width="15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165</v>
      </c>
    </row>
    <row r="2" customFormat="false" ht="15" hidden="false" customHeight="true" outlineLevel="0" collapsed="false">
      <c r="A2" s="5" t="s">
        <v>166</v>
      </c>
    </row>
    <row r="4" customFormat="false" ht="30" hidden="false" customHeight="true" outlineLevel="0" collapsed="false">
      <c r="A4" s="6" t="s">
        <v>167</v>
      </c>
      <c r="B4" s="6" t="s">
        <v>168</v>
      </c>
      <c r="C4" s="6" t="s">
        <v>169</v>
      </c>
      <c r="D4" s="6" t="s">
        <v>170</v>
      </c>
      <c r="E4" s="6" t="s">
        <v>171</v>
      </c>
      <c r="F4" s="6" t="s">
        <v>172</v>
      </c>
      <c r="G4" s="6" t="s">
        <v>173</v>
      </c>
    </row>
    <row r="5" customFormat="false" ht="15" hidden="false" customHeight="true" outlineLevel="0" collapsed="false">
      <c r="A5" s="9" t="s">
        <v>174</v>
      </c>
      <c r="B5" s="8" t="s">
        <v>175</v>
      </c>
      <c r="C5" s="8" t="n">
        <v>4</v>
      </c>
      <c r="D5" s="8" t="n">
        <v>3</v>
      </c>
      <c r="E5" s="8" t="n">
        <v>4</v>
      </c>
      <c r="F5" s="8" t="n">
        <v>4</v>
      </c>
      <c r="G5" s="13" t="n">
        <f aca="false">AVERAGE(C5:F5)</f>
        <v>3.75</v>
      </c>
    </row>
    <row r="6" customFormat="false" ht="15" hidden="false" customHeight="true" outlineLevel="0" collapsed="false">
      <c r="A6" s="9" t="s">
        <v>174</v>
      </c>
      <c r="B6" s="8" t="s">
        <v>176</v>
      </c>
      <c r="C6" s="8" t="n">
        <v>3</v>
      </c>
      <c r="D6" s="8" t="n">
        <v>4</v>
      </c>
      <c r="E6" s="8" t="n">
        <v>3</v>
      </c>
      <c r="F6" s="8" t="n">
        <v>4</v>
      </c>
      <c r="G6" s="13" t="n">
        <f aca="false">AVERAGE(C6:F6)</f>
        <v>3.5</v>
      </c>
    </row>
    <row r="7" customFormat="false" ht="15" hidden="false" customHeight="true" outlineLevel="0" collapsed="false">
      <c r="A7" s="9" t="s">
        <v>174</v>
      </c>
      <c r="B7" s="8" t="s">
        <v>177</v>
      </c>
      <c r="C7" s="8" t="n">
        <v>4</v>
      </c>
      <c r="D7" s="8" t="n">
        <v>4</v>
      </c>
      <c r="E7" s="8" t="n">
        <v>4</v>
      </c>
      <c r="F7" s="8" t="n">
        <v>3</v>
      </c>
      <c r="G7" s="13" t="n">
        <f aca="false">AVERAGE(C7:F7)</f>
        <v>3.75</v>
      </c>
    </row>
    <row r="8" customFormat="false" ht="15" hidden="false" customHeight="true" outlineLevel="0" collapsed="false">
      <c r="A8" s="9" t="s">
        <v>174</v>
      </c>
      <c r="B8" s="8" t="s">
        <v>178</v>
      </c>
      <c r="C8" s="8" t="n">
        <v>4</v>
      </c>
      <c r="D8" s="8" t="n">
        <v>4</v>
      </c>
      <c r="E8" s="8" t="n">
        <v>4</v>
      </c>
      <c r="F8" s="8" t="n">
        <v>3</v>
      </c>
      <c r="G8" s="13" t="n">
        <f aca="false">AVERAGE(C8:F8)</f>
        <v>3.75</v>
      </c>
    </row>
    <row r="9" customFormat="false" ht="15" hidden="false" customHeight="true" outlineLevel="0" collapsed="false">
      <c r="A9" s="9" t="s">
        <v>179</v>
      </c>
      <c r="B9" s="8" t="s">
        <v>180</v>
      </c>
      <c r="C9" s="8" t="n">
        <v>5</v>
      </c>
      <c r="D9" s="8" t="n">
        <v>4</v>
      </c>
      <c r="E9" s="8" t="n">
        <v>4</v>
      </c>
      <c r="F9" s="8" t="n">
        <v>5</v>
      </c>
      <c r="G9" s="13" t="n">
        <f aca="false">AVERAGE(C9:F9)</f>
        <v>4.5</v>
      </c>
    </row>
    <row r="10" customFormat="false" ht="15" hidden="false" customHeight="true" outlineLevel="0" collapsed="false">
      <c r="A10" s="9" t="s">
        <v>179</v>
      </c>
      <c r="B10" s="8" t="s">
        <v>181</v>
      </c>
      <c r="C10" s="8" t="n">
        <v>4</v>
      </c>
      <c r="D10" s="8" t="n">
        <v>4</v>
      </c>
      <c r="E10" s="8" t="n">
        <v>3</v>
      </c>
      <c r="F10" s="8" t="n">
        <v>4</v>
      </c>
      <c r="G10" s="13" t="n">
        <f aca="false">AVERAGE(C10:F10)</f>
        <v>3.75</v>
      </c>
    </row>
    <row r="11" customFormat="false" ht="15" hidden="false" customHeight="true" outlineLevel="0" collapsed="false">
      <c r="A11" s="9" t="s">
        <v>182</v>
      </c>
      <c r="B11" s="8" t="s">
        <v>183</v>
      </c>
      <c r="C11" s="8" t="n">
        <v>5</v>
      </c>
      <c r="D11" s="8" t="n">
        <v>4</v>
      </c>
      <c r="E11" s="8" t="n">
        <v>4</v>
      </c>
      <c r="F11" s="8" t="n">
        <v>5</v>
      </c>
      <c r="G11" s="13" t="n">
        <f aca="false">AVERAGE(C11:F11)</f>
        <v>4.5</v>
      </c>
    </row>
    <row r="12" customFormat="false" ht="15" hidden="false" customHeight="true" outlineLevel="0" collapsed="false">
      <c r="A12" s="9" t="s">
        <v>182</v>
      </c>
      <c r="B12" s="8" t="s">
        <v>184</v>
      </c>
      <c r="C12" s="8" t="n">
        <v>4</v>
      </c>
      <c r="D12" s="8" t="n">
        <v>3</v>
      </c>
      <c r="E12" s="8" t="n">
        <v>4</v>
      </c>
      <c r="F12" s="8" t="n">
        <v>4</v>
      </c>
      <c r="G12" s="13" t="n">
        <f aca="false">AVERAGE(C12:F12)</f>
        <v>3.75</v>
      </c>
    </row>
    <row r="13" customFormat="false" ht="15" hidden="false" customHeight="true" outlineLevel="0" collapsed="false">
      <c r="A13" s="9" t="s">
        <v>182</v>
      </c>
      <c r="B13" s="8" t="s">
        <v>185</v>
      </c>
      <c r="C13" s="8" t="n">
        <v>4</v>
      </c>
      <c r="D13" s="8" t="n">
        <v>4</v>
      </c>
      <c r="E13" s="8" t="n">
        <v>3</v>
      </c>
      <c r="F13" s="8" t="n">
        <v>4</v>
      </c>
      <c r="G13" s="13" t="n">
        <f aca="false">AVERAGE(C13:F13)</f>
        <v>3.75</v>
      </c>
    </row>
    <row r="15" customFormat="false" ht="15" hidden="false" customHeight="true" outlineLevel="0" collapsed="false">
      <c r="B15" s="5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48"/>
  </cols>
  <sheetData>
    <row r="1" customFormat="false" ht="17.25" hidden="false" customHeight="true" outlineLevel="0" collapsed="false">
      <c r="A1" s="2" t="s">
        <v>187</v>
      </c>
    </row>
    <row r="2" customFormat="false" ht="15" hidden="false" customHeight="true" outlineLevel="0" collapsed="false">
      <c r="A2" s="5" t="s">
        <v>188</v>
      </c>
    </row>
    <row r="4" customFormat="false" ht="30" hidden="false" customHeight="true" outlineLevel="0" collapsed="false">
      <c r="A4" s="6" t="s">
        <v>189</v>
      </c>
      <c r="B4" s="6" t="s">
        <v>190</v>
      </c>
      <c r="C4" s="6" t="s">
        <v>50</v>
      </c>
    </row>
    <row r="5" customFormat="false" ht="15" hidden="false" customHeight="true" outlineLevel="0" collapsed="false">
      <c r="A5" s="9" t="s">
        <v>191</v>
      </c>
      <c r="B5" s="8"/>
      <c r="C5" s="8" t="s">
        <v>192</v>
      </c>
    </row>
    <row r="6" customFormat="false" ht="15" hidden="false" customHeight="true" outlineLevel="0" collapsed="false">
      <c r="A6" s="9" t="s">
        <v>193</v>
      </c>
      <c r="B6" s="8"/>
      <c r="C6" s="8" t="s">
        <v>194</v>
      </c>
    </row>
    <row r="7" customFormat="false" ht="15" hidden="false" customHeight="true" outlineLevel="0" collapsed="false">
      <c r="A7" s="9" t="s">
        <v>195</v>
      </c>
      <c r="B7" s="8"/>
      <c r="C7" s="8" t="s">
        <v>196</v>
      </c>
    </row>
    <row r="8" customFormat="false" ht="15" hidden="false" customHeight="true" outlineLevel="0" collapsed="false">
      <c r="A8" s="9" t="s">
        <v>197</v>
      </c>
      <c r="B8" s="8"/>
      <c r="C8" s="8" t="s">
        <v>198</v>
      </c>
    </row>
    <row r="9" customFormat="false" ht="15" hidden="false" customHeight="true" outlineLevel="0" collapsed="false">
      <c r="A9" s="9" t="s">
        <v>199</v>
      </c>
      <c r="B9" s="14"/>
      <c r="C9" s="8" t="s">
        <v>200</v>
      </c>
    </row>
    <row r="10" customFormat="false" ht="15" hidden="false" customHeight="true" outlineLevel="0" collapsed="false">
      <c r="A10" s="9" t="s">
        <v>201</v>
      </c>
      <c r="B10" s="8"/>
      <c r="C10" s="8"/>
    </row>
    <row r="11" customFormat="false" ht="15" hidden="false" customHeight="true" outlineLevel="0" collapsed="false">
      <c r="A11" s="9" t="s">
        <v>202</v>
      </c>
      <c r="B11" s="8"/>
      <c r="C11" s="8"/>
    </row>
    <row r="12" customFormat="false" ht="15" hidden="false" customHeight="true" outlineLevel="0" collapsed="false">
      <c r="A12" s="9" t="s">
        <v>203</v>
      </c>
      <c r="B12" s="8"/>
      <c r="C12" s="8" t="s">
        <v>204</v>
      </c>
    </row>
    <row r="13" customFormat="false" ht="15" hidden="false" customHeight="true" outlineLevel="0" collapsed="false">
      <c r="A13" s="9" t="s">
        <v>205</v>
      </c>
      <c r="B13" s="8"/>
      <c r="C13" s="8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2026-06-09T23:42:36Z</dcterms:created>
  <dc:creator>openpyxl</dc:creator>
  <dc:description/>
  <dc:language>en-US</dc:language>
  <cp:lastModifiedBy/>
  <dcterms:modified xsi:type="dcterms:W3CDTF">2026-06-09T23:42:52Z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